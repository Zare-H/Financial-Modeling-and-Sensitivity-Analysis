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ir\Desktop\P2P Exchange\14010215- after meeting and changing the model\"/>
    </mc:Choice>
  </mc:AlternateContent>
  <xr:revisionPtr revIDLastSave="0" documentId="13_ncr:1_{D19CEF0F-C1E9-4C12-B62F-F7BFCADF84D1}" xr6:coauthVersionLast="43" xr6:coauthVersionMax="47" xr10:uidLastSave="{00000000-0000-0000-0000-000000000000}"/>
  <bookViews>
    <workbookView xWindow="-120" yWindow="-120" windowWidth="24240" windowHeight="13140" activeTab="1" xr2:uid="{764E7FB6-DE9D-4919-9CBC-975799420A25}"/>
  </bookViews>
  <sheets>
    <sheet name="Market Size" sheetId="1" r:id="rId1"/>
    <sheet name="Assumptions" sheetId="3" r:id="rId2"/>
    <sheet name="Growth Model" sheetId="2" r:id="rId3"/>
    <sheet name="KPI Growth" sheetId="4" r:id="rId4"/>
    <sheet name="P&amp;L" sheetId="5" r:id="rId5"/>
    <sheet name="Summary" sheetId="7" r:id="rId6"/>
    <sheet name="Valuation" sheetId="8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33" i="5" l="1"/>
  <c r="C14" i="7"/>
  <c r="B7" i="8"/>
  <c r="B10" i="8"/>
  <c r="B11" i="8"/>
  <c r="B31" i="5"/>
  <c r="B28" i="3"/>
  <c r="B35" i="5"/>
  <c r="C7" i="2" l="1"/>
  <c r="B7" i="2"/>
  <c r="C6" i="2"/>
  <c r="C5" i="2"/>
  <c r="B5" i="2"/>
  <c r="C3" i="2"/>
  <c r="B3" i="2"/>
  <c r="B2" i="2"/>
  <c r="O20" i="8" l="1"/>
  <c r="N20" i="8"/>
  <c r="N21" i="8"/>
  <c r="O21" i="8" s="1"/>
  <c r="N18" i="8"/>
  <c r="P8" i="8"/>
  <c r="N3" i="8"/>
  <c r="N2" i="8"/>
  <c r="O2" i="8"/>
  <c r="N4" i="8"/>
  <c r="O4" i="8" s="1"/>
  <c r="P4" i="8" s="1"/>
  <c r="P5" i="8" s="1"/>
  <c r="P6" i="8" s="1"/>
  <c r="G13" i="7"/>
  <c r="O22" i="8" l="1"/>
  <c r="O23" i="8" s="1"/>
  <c r="N22" i="8"/>
  <c r="N23" i="8" s="1"/>
  <c r="O5" i="8"/>
  <c r="O6" i="8" s="1"/>
  <c r="N5" i="8"/>
  <c r="B20" i="8"/>
  <c r="B19" i="8"/>
  <c r="N6" i="8" l="1"/>
  <c r="B22" i="8"/>
  <c r="B21" i="8"/>
  <c r="B14" i="8"/>
  <c r="O24" i="8" s="1"/>
  <c r="D34" i="5"/>
  <c r="E34" i="5" s="1"/>
  <c r="F34" i="5" s="1"/>
  <c r="G34" i="5" s="1"/>
  <c r="H34" i="5" s="1"/>
  <c r="I34" i="5" s="1"/>
  <c r="J34" i="5" s="1"/>
  <c r="K34" i="5" s="1"/>
  <c r="L34" i="5" s="1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AG34" i="5" s="1"/>
  <c r="AH34" i="5" s="1"/>
  <c r="AI34" i="5" s="1"/>
  <c r="AJ34" i="5" s="1"/>
  <c r="AK34" i="5" s="1"/>
  <c r="AL34" i="5" s="1"/>
  <c r="AM34" i="5" s="1"/>
  <c r="AN34" i="5" s="1"/>
  <c r="AO34" i="5" s="1"/>
  <c r="AP34" i="5" s="1"/>
  <c r="AQ34" i="5" s="1"/>
  <c r="AR34" i="5" s="1"/>
  <c r="AS34" i="5" s="1"/>
  <c r="AT34" i="5" s="1"/>
  <c r="AU34" i="5" s="1"/>
  <c r="AV34" i="5" s="1"/>
  <c r="AW34" i="5" s="1"/>
  <c r="AX34" i="5" s="1"/>
  <c r="AY34" i="5" s="1"/>
  <c r="AZ34" i="5" s="1"/>
  <c r="BA34" i="5" s="1"/>
  <c r="BB34" i="5" s="1"/>
  <c r="BC34" i="5" s="1"/>
  <c r="BD34" i="5" s="1"/>
  <c r="BE34" i="5" s="1"/>
  <c r="BF34" i="5" s="1"/>
  <c r="BG34" i="5" s="1"/>
  <c r="BH34" i="5" s="1"/>
  <c r="BI34" i="5" s="1"/>
  <c r="C34" i="5"/>
  <c r="B34" i="5"/>
  <c r="B24" i="8" l="1"/>
  <c r="D39" i="8" s="1"/>
  <c r="N24" i="8"/>
  <c r="N25" i="8" s="1"/>
  <c r="B23" i="8"/>
  <c r="D30" i="8" s="1"/>
  <c r="N7" i="8"/>
  <c r="B12" i="8"/>
  <c r="F8" i="8"/>
  <c r="C8" i="8"/>
  <c r="D8" i="8"/>
  <c r="E8" i="8"/>
  <c r="B8" i="8"/>
  <c r="C7" i="8"/>
  <c r="D7" i="8"/>
  <c r="E7" i="8"/>
  <c r="F7" i="8"/>
  <c r="AZ6" i="4"/>
  <c r="BA6" i="4"/>
  <c r="BB6" i="4"/>
  <c r="BC6" i="4"/>
  <c r="BD6" i="4"/>
  <c r="BE6" i="4"/>
  <c r="BF6" i="4"/>
  <c r="BG6" i="4"/>
  <c r="BH6" i="4"/>
  <c r="BI6" i="4"/>
  <c r="BJ6" i="4"/>
  <c r="AY6" i="4"/>
  <c r="AN6" i="4"/>
  <c r="AO6" i="4"/>
  <c r="AP6" i="4"/>
  <c r="AQ6" i="4"/>
  <c r="AR6" i="4"/>
  <c r="AS6" i="4"/>
  <c r="AT6" i="4"/>
  <c r="AU6" i="4"/>
  <c r="AV6" i="4"/>
  <c r="AW6" i="4"/>
  <c r="AX6" i="4"/>
  <c r="AM6" i="4"/>
  <c r="AB6" i="4"/>
  <c r="AC6" i="4"/>
  <c r="AD6" i="4"/>
  <c r="AE6" i="4"/>
  <c r="AF6" i="4"/>
  <c r="AG6" i="4"/>
  <c r="AH6" i="4"/>
  <c r="AI6" i="4"/>
  <c r="AJ6" i="4"/>
  <c r="AK6" i="4"/>
  <c r="AL6" i="4"/>
  <c r="Z6" i="4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6" i="7"/>
  <c r="F6" i="7"/>
  <c r="E6" i="7"/>
  <c r="D6" i="7"/>
  <c r="C6" i="7"/>
  <c r="A14" i="7"/>
  <c r="A13" i="7"/>
  <c r="A12" i="7"/>
  <c r="A11" i="7"/>
  <c r="A10" i="7"/>
  <c r="A9" i="7"/>
  <c r="A8" i="7"/>
  <c r="A7" i="7"/>
  <c r="B5" i="7"/>
  <c r="G4" i="7"/>
  <c r="B2" i="7" s="1"/>
  <c r="B28" i="5"/>
  <c r="B9" i="5"/>
  <c r="C12" i="3"/>
  <c r="F7" i="3"/>
  <c r="E7" i="3"/>
  <c r="D7" i="3"/>
  <c r="G7" i="2"/>
  <c r="F7" i="2"/>
  <c r="E7" i="2"/>
  <c r="D7" i="2"/>
  <c r="C7" i="3"/>
  <c r="O4" i="4"/>
  <c r="O3" i="4" s="1"/>
  <c r="O6" i="4" s="1"/>
  <c r="BJ3" i="4"/>
  <c r="AX3" i="4"/>
  <c r="AL3" i="4"/>
  <c r="Z3" i="4"/>
  <c r="Y3" i="5" s="1"/>
  <c r="N3" i="4"/>
  <c r="M3" i="5" s="1"/>
  <c r="B3" i="4"/>
  <c r="D5" i="2"/>
  <c r="D1" i="1"/>
  <c r="B9" i="1"/>
  <c r="B10" i="1" s="1"/>
  <c r="B8" i="1"/>
  <c r="B7" i="1"/>
  <c r="D12" i="3"/>
  <c r="E12" i="3" s="1"/>
  <c r="F12" i="3" s="1"/>
  <c r="C12" i="5"/>
  <c r="D12" i="5"/>
  <c r="E12" i="5"/>
  <c r="F12" i="5"/>
  <c r="G12" i="5"/>
  <c r="H12" i="5"/>
  <c r="I12" i="5"/>
  <c r="J12" i="5"/>
  <c r="K12" i="5"/>
  <c r="L12" i="5"/>
  <c r="M12" i="5"/>
  <c r="B12" i="5"/>
  <c r="C11" i="5"/>
  <c r="D11" i="5"/>
  <c r="E11" i="5"/>
  <c r="F11" i="5"/>
  <c r="G11" i="5"/>
  <c r="H11" i="5"/>
  <c r="I11" i="5"/>
  <c r="J11" i="5"/>
  <c r="K11" i="5"/>
  <c r="L11" i="5"/>
  <c r="M11" i="5"/>
  <c r="B11" i="5"/>
  <c r="B10" i="5"/>
  <c r="AY10" i="5"/>
  <c r="AZ10" i="5"/>
  <c r="BA10" i="5"/>
  <c r="BB10" i="5"/>
  <c r="BC10" i="5"/>
  <c r="BD10" i="5"/>
  <c r="BE10" i="5"/>
  <c r="BF10" i="5"/>
  <c r="BG10" i="5"/>
  <c r="BH10" i="5"/>
  <c r="BI10" i="5"/>
  <c r="AX10" i="5"/>
  <c r="AM10" i="5"/>
  <c r="AN10" i="5"/>
  <c r="AO10" i="5"/>
  <c r="AP10" i="5"/>
  <c r="AQ10" i="5"/>
  <c r="AR10" i="5"/>
  <c r="AS10" i="5"/>
  <c r="AT10" i="5"/>
  <c r="AU10" i="5"/>
  <c r="AV10" i="5"/>
  <c r="AW10" i="5"/>
  <c r="AL10" i="5"/>
  <c r="AA10" i="5"/>
  <c r="AB10" i="5"/>
  <c r="AC10" i="5"/>
  <c r="AD10" i="5"/>
  <c r="AE10" i="5"/>
  <c r="AF10" i="5"/>
  <c r="AG10" i="5"/>
  <c r="AH10" i="5"/>
  <c r="AI10" i="5"/>
  <c r="AJ10" i="5"/>
  <c r="AK10" i="5"/>
  <c r="Z10" i="5"/>
  <c r="O10" i="5"/>
  <c r="P10" i="5"/>
  <c r="Q10" i="5"/>
  <c r="R10" i="5"/>
  <c r="S10" i="5"/>
  <c r="T10" i="5"/>
  <c r="U10" i="5"/>
  <c r="V10" i="5"/>
  <c r="W10" i="5"/>
  <c r="X10" i="5"/>
  <c r="Y10" i="5"/>
  <c r="N10" i="5"/>
  <c r="K10" i="5"/>
  <c r="L10" i="5"/>
  <c r="M10" i="5"/>
  <c r="C10" i="5"/>
  <c r="D10" i="5"/>
  <c r="E10" i="5"/>
  <c r="F10" i="5"/>
  <c r="G10" i="5"/>
  <c r="H10" i="5"/>
  <c r="I10" i="5"/>
  <c r="J10" i="5"/>
  <c r="AY9" i="5"/>
  <c r="AZ9" i="5"/>
  <c r="BA9" i="5"/>
  <c r="BB9" i="5"/>
  <c r="BC9" i="5"/>
  <c r="BD9" i="5"/>
  <c r="BE9" i="5"/>
  <c r="BF9" i="5"/>
  <c r="BG9" i="5"/>
  <c r="BH9" i="5"/>
  <c r="BI9" i="5"/>
  <c r="AX9" i="5"/>
  <c r="AM9" i="5"/>
  <c r="AN9" i="5"/>
  <c r="AO9" i="5"/>
  <c r="AP9" i="5"/>
  <c r="AQ9" i="5"/>
  <c r="AR9" i="5"/>
  <c r="AS9" i="5"/>
  <c r="AT9" i="5"/>
  <c r="AU9" i="5"/>
  <c r="AV9" i="5"/>
  <c r="AW9" i="5"/>
  <c r="AL9" i="5"/>
  <c r="AA9" i="5"/>
  <c r="AB9" i="5"/>
  <c r="AC9" i="5"/>
  <c r="AD9" i="5"/>
  <c r="AE9" i="5"/>
  <c r="AF9" i="5"/>
  <c r="AG9" i="5"/>
  <c r="AH9" i="5"/>
  <c r="AI9" i="5"/>
  <c r="AJ9" i="5"/>
  <c r="AK9" i="5"/>
  <c r="Z9" i="5"/>
  <c r="O9" i="5"/>
  <c r="P9" i="5"/>
  <c r="Q9" i="5"/>
  <c r="R9" i="5"/>
  <c r="S9" i="5"/>
  <c r="T9" i="5"/>
  <c r="U9" i="5"/>
  <c r="V9" i="5"/>
  <c r="W9" i="5"/>
  <c r="X9" i="5"/>
  <c r="Y9" i="5"/>
  <c r="N9" i="5"/>
  <c r="C9" i="5"/>
  <c r="D9" i="5"/>
  <c r="E9" i="5"/>
  <c r="E13" i="5" s="1"/>
  <c r="F9" i="5"/>
  <c r="G9" i="5"/>
  <c r="H9" i="5"/>
  <c r="I9" i="5"/>
  <c r="J9" i="5"/>
  <c r="K9" i="5"/>
  <c r="L9" i="5"/>
  <c r="M9" i="5"/>
  <c r="G23" i="3"/>
  <c r="BA23" i="5" s="1"/>
  <c r="E20" i="3"/>
  <c r="F20" i="3"/>
  <c r="D20" i="3"/>
  <c r="C23" i="3"/>
  <c r="D21" i="3"/>
  <c r="E21" i="3" s="1"/>
  <c r="F21" i="3" s="1"/>
  <c r="O8" i="8" l="1"/>
  <c r="M11" i="8" s="1"/>
  <c r="B9" i="8"/>
  <c r="B13" i="8" s="1"/>
  <c r="C4" i="4"/>
  <c r="C3" i="4" s="1"/>
  <c r="AY4" i="4"/>
  <c r="AY3" i="4" s="1"/>
  <c r="N6" i="4"/>
  <c r="O7" i="4" s="1"/>
  <c r="N3" i="5"/>
  <c r="B6" i="4"/>
  <c r="BI3" i="5"/>
  <c r="AW3" i="5"/>
  <c r="AK3" i="5"/>
  <c r="C2" i="7"/>
  <c r="B3" i="7"/>
  <c r="P3" i="4"/>
  <c r="AM4" i="4"/>
  <c r="AM3" i="4" s="1"/>
  <c r="AL3" i="5" s="1"/>
  <c r="AA4" i="4"/>
  <c r="AA3" i="4" s="1"/>
  <c r="B11" i="1"/>
  <c r="E23" i="5"/>
  <c r="I23" i="5"/>
  <c r="M23" i="5"/>
  <c r="E22" i="5"/>
  <c r="I22" i="5"/>
  <c r="M22" i="5"/>
  <c r="F23" i="5"/>
  <c r="J23" i="5"/>
  <c r="B23" i="5"/>
  <c r="F22" i="5"/>
  <c r="J22" i="5"/>
  <c r="B22" i="5"/>
  <c r="C23" i="5"/>
  <c r="G23" i="5"/>
  <c r="K23" i="5"/>
  <c r="C22" i="5"/>
  <c r="G22" i="5"/>
  <c r="K22" i="5"/>
  <c r="D23" i="5"/>
  <c r="H23" i="5"/>
  <c r="L23" i="5"/>
  <c r="D22" i="5"/>
  <c r="H22" i="5"/>
  <c r="L22" i="5"/>
  <c r="J13" i="5"/>
  <c r="J14" i="5" s="1"/>
  <c r="AY11" i="5"/>
  <c r="BE11" i="5"/>
  <c r="AW11" i="5"/>
  <c r="F13" i="5"/>
  <c r="F14" i="5" s="1"/>
  <c r="F26" i="5"/>
  <c r="F28" i="5" s="1"/>
  <c r="M26" i="5"/>
  <c r="M28" i="5" s="1"/>
  <c r="I26" i="5"/>
  <c r="I28" i="5" s="1"/>
  <c r="E26" i="5"/>
  <c r="E28" i="5" s="1"/>
  <c r="L26" i="5"/>
  <c r="L28" i="5" s="1"/>
  <c r="H26" i="5"/>
  <c r="H28" i="5" s="1"/>
  <c r="D26" i="5"/>
  <c r="D28" i="5" s="1"/>
  <c r="B26" i="5"/>
  <c r="K26" i="5"/>
  <c r="K28" i="5" s="1"/>
  <c r="G26" i="5"/>
  <c r="G28" i="5" s="1"/>
  <c r="C26" i="5"/>
  <c r="C28" i="5" s="1"/>
  <c r="J26" i="5"/>
  <c r="J28" i="5" s="1"/>
  <c r="F23" i="3"/>
  <c r="AO23" i="5" s="1"/>
  <c r="Q11" i="5"/>
  <c r="E23" i="3"/>
  <c r="AJ23" i="5" s="1"/>
  <c r="BE22" i="5"/>
  <c r="BI23" i="5"/>
  <c r="BD22" i="5"/>
  <c r="BH23" i="5"/>
  <c r="AZ23" i="5"/>
  <c r="BC22" i="5"/>
  <c r="BG23" i="5"/>
  <c r="AY23" i="5"/>
  <c r="AY26" i="5"/>
  <c r="AY28" i="5" s="1"/>
  <c r="AX22" i="5"/>
  <c r="BB22" i="5"/>
  <c r="BF23" i="5"/>
  <c r="BI22" i="5"/>
  <c r="BA22" i="5"/>
  <c r="BA24" i="5" s="1"/>
  <c r="BE23" i="5"/>
  <c r="BH22" i="5"/>
  <c r="AZ22" i="5"/>
  <c r="BD23" i="5"/>
  <c r="BG22" i="5"/>
  <c r="AY22" i="5"/>
  <c r="BC23" i="5"/>
  <c r="BF22" i="5"/>
  <c r="AX23" i="5"/>
  <c r="BB23" i="5"/>
  <c r="AX26" i="5"/>
  <c r="AX28" i="5" s="1"/>
  <c r="B13" i="5"/>
  <c r="B14" i="5" s="1"/>
  <c r="AN11" i="5"/>
  <c r="E14" i="5"/>
  <c r="C13" i="5"/>
  <c r="C14" i="5" s="1"/>
  <c r="X11" i="5"/>
  <c r="AF11" i="5"/>
  <c r="AJ12" i="5"/>
  <c r="D23" i="3"/>
  <c r="W11" i="5"/>
  <c r="AE11" i="5"/>
  <c r="AM11" i="5"/>
  <c r="R11" i="5"/>
  <c r="AL11" i="5"/>
  <c r="BF11" i="5"/>
  <c r="T12" i="5"/>
  <c r="L13" i="5"/>
  <c r="L14" i="5" s="1"/>
  <c r="D13" i="5"/>
  <c r="D14" i="5" s="1"/>
  <c r="P11" i="5"/>
  <c r="AV11" i="5"/>
  <c r="BD11" i="5"/>
  <c r="AB12" i="5"/>
  <c r="K13" i="5"/>
  <c r="K14" i="5" s="1"/>
  <c r="O11" i="5"/>
  <c r="AU11" i="5"/>
  <c r="BC11" i="5"/>
  <c r="AR12" i="5"/>
  <c r="N11" i="5"/>
  <c r="AH11" i="5"/>
  <c r="AP11" i="5"/>
  <c r="BH12" i="5"/>
  <c r="Y11" i="5"/>
  <c r="AG11" i="5"/>
  <c r="AO11" i="5"/>
  <c r="AZ12" i="5"/>
  <c r="M13" i="5"/>
  <c r="M14" i="5" s="1"/>
  <c r="I13" i="5"/>
  <c r="I14" i="5" s="1"/>
  <c r="H13" i="5"/>
  <c r="H14" i="5" s="1"/>
  <c r="BG12" i="5"/>
  <c r="G13" i="5"/>
  <c r="G14" i="5" s="1"/>
  <c r="V11" i="5"/>
  <c r="Z11" i="5"/>
  <c r="AD11" i="5"/>
  <c r="AT11" i="5"/>
  <c r="AX11" i="5"/>
  <c r="BB11" i="5"/>
  <c r="N12" i="5"/>
  <c r="R12" i="5"/>
  <c r="AH12" i="5"/>
  <c r="AL12" i="5"/>
  <c r="AP12" i="5"/>
  <c r="BF12" i="5"/>
  <c r="AI12" i="5"/>
  <c r="AY12" i="5"/>
  <c r="U11" i="5"/>
  <c r="AK11" i="5"/>
  <c r="AC11" i="5"/>
  <c r="AS11" i="5"/>
  <c r="BI11" i="5"/>
  <c r="BA11" i="5"/>
  <c r="Y12" i="5"/>
  <c r="Y13" i="5" s="1"/>
  <c r="Q12" i="5"/>
  <c r="AG12" i="5"/>
  <c r="AW12" i="5"/>
  <c r="AO12" i="5"/>
  <c r="BE12" i="5"/>
  <c r="S12" i="5"/>
  <c r="AQ12" i="5"/>
  <c r="T11" i="5"/>
  <c r="AJ11" i="5"/>
  <c r="AB11" i="5"/>
  <c r="AR11" i="5"/>
  <c r="BH11" i="5"/>
  <c r="AZ11" i="5"/>
  <c r="X12" i="5"/>
  <c r="P12" i="5"/>
  <c r="AF12" i="5"/>
  <c r="AV12" i="5"/>
  <c r="AN12" i="5"/>
  <c r="AN13" i="5" s="1"/>
  <c r="BD12" i="5"/>
  <c r="AA12" i="5"/>
  <c r="S11" i="5"/>
  <c r="AI11" i="5"/>
  <c r="AA11" i="5"/>
  <c r="AQ11" i="5"/>
  <c r="BG11" i="5"/>
  <c r="W12" i="5"/>
  <c r="O12" i="5"/>
  <c r="O13" i="5" s="1"/>
  <c r="AE12" i="5"/>
  <c r="AU12" i="5"/>
  <c r="AM12" i="5"/>
  <c r="BC12" i="5"/>
  <c r="V12" i="5"/>
  <c r="Z12" i="5"/>
  <c r="AD12" i="5"/>
  <c r="AT12" i="5"/>
  <c r="AX12" i="5"/>
  <c r="BB12" i="5"/>
  <c r="U12" i="5"/>
  <c r="AK12" i="5"/>
  <c r="AC12" i="5"/>
  <c r="AS12" i="5"/>
  <c r="BI12" i="5"/>
  <c r="BA12" i="5"/>
  <c r="D10" i="8" l="1"/>
  <c r="D20" i="8"/>
  <c r="AY7" i="4"/>
  <c r="AZ3" i="4"/>
  <c r="AX3" i="5"/>
  <c r="C6" i="4"/>
  <c r="C7" i="4" s="1"/>
  <c r="D3" i="4"/>
  <c r="B3" i="5"/>
  <c r="B4" i="5" s="1"/>
  <c r="B5" i="5" s="1"/>
  <c r="AA6" i="4"/>
  <c r="AA7" i="4" s="1"/>
  <c r="Z3" i="5"/>
  <c r="O3" i="5"/>
  <c r="P6" i="4"/>
  <c r="B6" i="5"/>
  <c r="C3" i="7"/>
  <c r="C4" i="7" s="1"/>
  <c r="AM13" i="5"/>
  <c r="AE23" i="5"/>
  <c r="AI22" i="5"/>
  <c r="AA22" i="5"/>
  <c r="AU13" i="5"/>
  <c r="AD23" i="5"/>
  <c r="Z23" i="5"/>
  <c r="AJ22" i="5"/>
  <c r="AJ24" i="5" s="1"/>
  <c r="AC22" i="5"/>
  <c r="AW13" i="5"/>
  <c r="AW14" i="5" s="1"/>
  <c r="AF23" i="5"/>
  <c r="AK22" i="5"/>
  <c r="Z22" i="5"/>
  <c r="AR22" i="5"/>
  <c r="AM22" i="5"/>
  <c r="AU22" i="5"/>
  <c r="AV23" i="5"/>
  <c r="BF26" i="5"/>
  <c r="BF28" i="5" s="1"/>
  <c r="AL22" i="5"/>
  <c r="L24" i="5"/>
  <c r="C24" i="5"/>
  <c r="B24" i="5"/>
  <c r="E24" i="5"/>
  <c r="AB3" i="4"/>
  <c r="AA3" i="5" s="1"/>
  <c r="AM7" i="4"/>
  <c r="AN3" i="4"/>
  <c r="AM3" i="5" s="1"/>
  <c r="Q3" i="4"/>
  <c r="P7" i="4"/>
  <c r="BE13" i="5"/>
  <c r="BE14" i="5" s="1"/>
  <c r="AA26" i="5"/>
  <c r="AA28" i="5" s="1"/>
  <c r="AK23" i="5"/>
  <c r="AC23" i="5"/>
  <c r="AB23" i="5"/>
  <c r="D24" i="5"/>
  <c r="K24" i="5"/>
  <c r="F24" i="5"/>
  <c r="M24" i="5"/>
  <c r="H24" i="5"/>
  <c r="J24" i="5"/>
  <c r="BF13" i="5"/>
  <c r="BF14" i="5" s="1"/>
  <c r="AH22" i="5"/>
  <c r="AB22" i="5"/>
  <c r="AG22" i="5"/>
  <c r="AE22" i="5"/>
  <c r="G24" i="5"/>
  <c r="I24" i="5"/>
  <c r="BC26" i="5"/>
  <c r="BC28" i="5" s="1"/>
  <c r="BD26" i="5"/>
  <c r="BD28" i="5" s="1"/>
  <c r="AG23" i="5"/>
  <c r="AA23" i="5"/>
  <c r="AN23" i="5"/>
  <c r="AH23" i="5"/>
  <c r="AF22" i="5"/>
  <c r="AF24" i="5" s="1"/>
  <c r="AP23" i="5"/>
  <c r="BG26" i="5"/>
  <c r="BG28" i="5" s="1"/>
  <c r="AN22" i="5"/>
  <c r="AQ22" i="5"/>
  <c r="AL23" i="5"/>
  <c r="AZ26" i="5"/>
  <c r="AZ28" i="5" s="1"/>
  <c r="AV22" i="5"/>
  <c r="AW23" i="5"/>
  <c r="BH26" i="5"/>
  <c r="BH28" i="5" s="1"/>
  <c r="AT23" i="5"/>
  <c r="AM23" i="5"/>
  <c r="AM24" i="5" s="1"/>
  <c r="BB26" i="5"/>
  <c r="BB28" i="5" s="1"/>
  <c r="AS23" i="5"/>
  <c r="AQ23" i="5"/>
  <c r="AO22" i="5"/>
  <c r="AO24" i="5" s="1"/>
  <c r="AS22" i="5"/>
  <c r="BA26" i="5"/>
  <c r="BA28" i="5" s="1"/>
  <c r="AU23" i="5"/>
  <c r="BE26" i="5"/>
  <c r="BE28" i="5" s="1"/>
  <c r="AT22" i="5"/>
  <c r="AR23" i="5"/>
  <c r="BI26" i="5"/>
  <c r="BI28" i="5" s="1"/>
  <c r="AP22" i="5"/>
  <c r="AW22" i="5"/>
  <c r="AD22" i="5"/>
  <c r="AI23" i="5"/>
  <c r="AG13" i="5"/>
  <c r="AG14" i="5" s="1"/>
  <c r="N13" i="5"/>
  <c r="N14" i="5" s="1"/>
  <c r="Q13" i="5"/>
  <c r="Q14" i="5" s="1"/>
  <c r="AB26" i="5"/>
  <c r="AB28" i="5" s="1"/>
  <c r="AR13" i="5"/>
  <c r="AR14" i="5" s="1"/>
  <c r="AH26" i="5"/>
  <c r="AH28" i="5" s="1"/>
  <c r="BE24" i="5"/>
  <c r="BH24" i="5"/>
  <c r="BI24" i="5"/>
  <c r="BB24" i="5"/>
  <c r="AY24" i="5"/>
  <c r="BG24" i="5"/>
  <c r="BF24" i="5"/>
  <c r="AT26" i="5"/>
  <c r="AT28" i="5" s="1"/>
  <c r="O26" i="5"/>
  <c r="O28" i="5" s="1"/>
  <c r="W26" i="5"/>
  <c r="W28" i="5" s="1"/>
  <c r="V23" i="5"/>
  <c r="R22" i="5"/>
  <c r="N22" i="5"/>
  <c r="AM26" i="5"/>
  <c r="AM28" i="5" s="1"/>
  <c r="AU26" i="5"/>
  <c r="AU28" i="5" s="1"/>
  <c r="P26" i="5"/>
  <c r="P28" i="5" s="1"/>
  <c r="X26" i="5"/>
  <c r="X28" i="5" s="1"/>
  <c r="O23" i="5"/>
  <c r="W23" i="5"/>
  <c r="S22" i="5"/>
  <c r="AN26" i="5"/>
  <c r="AN28" i="5" s="1"/>
  <c r="AV26" i="5"/>
  <c r="AV28" i="5" s="1"/>
  <c r="Q26" i="5"/>
  <c r="Q28" i="5" s="1"/>
  <c r="Y26" i="5"/>
  <c r="Y28" i="5" s="1"/>
  <c r="P23" i="5"/>
  <c r="X23" i="5"/>
  <c r="T22" i="5"/>
  <c r="AO26" i="5"/>
  <c r="AO28" i="5" s="1"/>
  <c r="AW26" i="5"/>
  <c r="AW28" i="5" s="1"/>
  <c r="R26" i="5"/>
  <c r="R28" i="5" s="1"/>
  <c r="N26" i="5"/>
  <c r="N28" i="5" s="1"/>
  <c r="Q23" i="5"/>
  <c r="Y23" i="5"/>
  <c r="U22" i="5"/>
  <c r="V26" i="5"/>
  <c r="V28" i="5" s="1"/>
  <c r="Y22" i="5"/>
  <c r="S26" i="5"/>
  <c r="S28" i="5" s="1"/>
  <c r="R23" i="5"/>
  <c r="N23" i="5"/>
  <c r="V22" i="5"/>
  <c r="U23" i="5"/>
  <c r="Q22" i="5"/>
  <c r="T26" i="5"/>
  <c r="T28" i="5" s="1"/>
  <c r="S23" i="5"/>
  <c r="O22" i="5"/>
  <c r="W22" i="5"/>
  <c r="U26" i="5"/>
  <c r="U28" i="5" s="1"/>
  <c r="T23" i="5"/>
  <c r="P22" i="5"/>
  <c r="P24" i="5" s="1"/>
  <c r="X22" i="5"/>
  <c r="X24" i="5" s="1"/>
  <c r="AS26" i="5"/>
  <c r="AS28" i="5" s="1"/>
  <c r="AZ24" i="5"/>
  <c r="AP26" i="5"/>
  <c r="AP28" i="5" s="1"/>
  <c r="AX24" i="5"/>
  <c r="AJ26" i="5"/>
  <c r="AJ28" i="5" s="1"/>
  <c r="Z26" i="5"/>
  <c r="Z28" i="5" s="1"/>
  <c r="AI26" i="5"/>
  <c r="AI28" i="5" s="1"/>
  <c r="AL26" i="5"/>
  <c r="AL28" i="5" s="1"/>
  <c r="Y14" i="5"/>
  <c r="AP13" i="5"/>
  <c r="AP14" i="5" s="1"/>
  <c r="AE26" i="5"/>
  <c r="AE28" i="5" s="1"/>
  <c r="AF26" i="5"/>
  <c r="AF28" i="5" s="1"/>
  <c r="AD26" i="5"/>
  <c r="AD28" i="5" s="1"/>
  <c r="AR26" i="5"/>
  <c r="AR28" i="5" s="1"/>
  <c r="BD24" i="5"/>
  <c r="AM14" i="5"/>
  <c r="AG26" i="5"/>
  <c r="AG28" i="5" s="1"/>
  <c r="AC26" i="5"/>
  <c r="AC28" i="5" s="1"/>
  <c r="AE13" i="5"/>
  <c r="AE14" i="5" s="1"/>
  <c r="AQ26" i="5"/>
  <c r="AQ28" i="5" s="1"/>
  <c r="BC24" i="5"/>
  <c r="AK26" i="5"/>
  <c r="AK28" i="5" s="1"/>
  <c r="AJ13" i="5"/>
  <c r="AJ14" i="5" s="1"/>
  <c r="O14" i="5"/>
  <c r="AF13" i="5"/>
  <c r="AF14" i="5" s="1"/>
  <c r="AV13" i="5"/>
  <c r="AV14" i="5" s="1"/>
  <c r="BC13" i="5"/>
  <c r="BC14" i="5" s="1"/>
  <c r="P13" i="5"/>
  <c r="P14" i="5" s="1"/>
  <c r="BD13" i="5"/>
  <c r="BD14" i="5" s="1"/>
  <c r="AL13" i="5"/>
  <c r="AL14" i="5" s="1"/>
  <c r="AN14" i="5"/>
  <c r="AU14" i="5"/>
  <c r="AK13" i="5"/>
  <c r="AK14" i="5" s="1"/>
  <c r="Z13" i="5"/>
  <c r="Z14" i="5" s="1"/>
  <c r="AA13" i="5"/>
  <c r="AA14" i="5" s="1"/>
  <c r="R13" i="5"/>
  <c r="R14" i="5" s="1"/>
  <c r="U13" i="5"/>
  <c r="U14" i="5" s="1"/>
  <c r="BB13" i="5"/>
  <c r="BB14" i="5" s="1"/>
  <c r="S13" i="5"/>
  <c r="S14" i="5" s="1"/>
  <c r="AI13" i="5"/>
  <c r="AI14" i="5" s="1"/>
  <c r="BI13" i="5"/>
  <c r="BI14" i="5" s="1"/>
  <c r="AS13" i="5"/>
  <c r="AS14" i="5" s="1"/>
  <c r="AC13" i="5"/>
  <c r="AC14" i="5" s="1"/>
  <c r="AH13" i="5"/>
  <c r="AH14" i="5" s="1"/>
  <c r="AT13" i="5"/>
  <c r="AT14" i="5" s="1"/>
  <c r="X13" i="5"/>
  <c r="X14" i="5" s="1"/>
  <c r="W13" i="5"/>
  <c r="W14" i="5" s="1"/>
  <c r="AO13" i="5"/>
  <c r="AO14" i="5" s="1"/>
  <c r="AB13" i="5"/>
  <c r="AB14" i="5" s="1"/>
  <c r="BA13" i="5"/>
  <c r="BA14" i="5" s="1"/>
  <c r="BH13" i="5"/>
  <c r="BH14" i="5" s="1"/>
  <c r="AY13" i="5"/>
  <c r="AY14" i="5" s="1"/>
  <c r="AD13" i="5"/>
  <c r="AD14" i="5" s="1"/>
  <c r="BG13" i="5"/>
  <c r="BG14" i="5" s="1"/>
  <c r="AZ13" i="5"/>
  <c r="AZ14" i="5" s="1"/>
  <c r="AX13" i="5"/>
  <c r="AX14" i="5" s="1"/>
  <c r="T13" i="5"/>
  <c r="T14" i="5" s="1"/>
  <c r="AQ13" i="5"/>
  <c r="AQ14" i="5" s="1"/>
  <c r="V13" i="5"/>
  <c r="V14" i="5" s="1"/>
  <c r="BA3" i="4" l="1"/>
  <c r="AY3" i="5"/>
  <c r="AZ7" i="4"/>
  <c r="Q6" i="4"/>
  <c r="P3" i="5"/>
  <c r="E3" i="4"/>
  <c r="D6" i="4"/>
  <c r="D7" i="4" s="1"/>
  <c r="C3" i="5"/>
  <c r="D3" i="7"/>
  <c r="D4" i="7" s="1"/>
  <c r="Z24" i="5"/>
  <c r="AI24" i="5"/>
  <c r="AE24" i="5"/>
  <c r="AD24" i="5"/>
  <c r="AK24" i="5"/>
  <c r="AH24" i="5"/>
  <c r="AU24" i="5"/>
  <c r="AL24" i="5"/>
  <c r="AA24" i="5"/>
  <c r="AR24" i="5"/>
  <c r="AP24" i="5"/>
  <c r="AV24" i="5"/>
  <c r="AC24" i="5"/>
  <c r="AB24" i="5"/>
  <c r="AO3" i="4"/>
  <c r="AN3" i="5" s="1"/>
  <c r="AN7" i="4"/>
  <c r="R3" i="4"/>
  <c r="Q7" i="4"/>
  <c r="AC3" i="4"/>
  <c r="AB3" i="5" s="1"/>
  <c r="AB7" i="4"/>
  <c r="AS24" i="5"/>
  <c r="AQ24" i="5"/>
  <c r="AG24" i="5"/>
  <c r="O24" i="5"/>
  <c r="AN24" i="5"/>
  <c r="AW24" i="5"/>
  <c r="AT24" i="5"/>
  <c r="U24" i="5"/>
  <c r="V24" i="5"/>
  <c r="W24" i="5"/>
  <c r="N24" i="5"/>
  <c r="Y24" i="5"/>
  <c r="S24" i="5"/>
  <c r="R24" i="5"/>
  <c r="T24" i="5"/>
  <c r="Q24" i="5"/>
  <c r="Q3" i="5" l="1"/>
  <c r="R6" i="4"/>
  <c r="E6" i="4"/>
  <c r="E7" i="4" s="1"/>
  <c r="D3" i="5"/>
  <c r="F3" i="4"/>
  <c r="AZ3" i="5"/>
  <c r="BA7" i="4"/>
  <c r="BB3" i="4"/>
  <c r="E3" i="7"/>
  <c r="F3" i="7" s="1"/>
  <c r="G3" i="7" s="1"/>
  <c r="E4" i="7"/>
  <c r="R7" i="4"/>
  <c r="S3" i="4"/>
  <c r="AC7" i="4"/>
  <c r="AD3" i="4"/>
  <c r="AC3" i="5" s="1"/>
  <c r="AP3" i="4"/>
  <c r="AO3" i="5" s="1"/>
  <c r="AO7" i="4"/>
  <c r="B3" i="1"/>
  <c r="B5" i="1" s="1"/>
  <c r="G4" i="2" s="1"/>
  <c r="E3" i="5" l="1"/>
  <c r="F6" i="4"/>
  <c r="F7" i="4" s="1"/>
  <c r="G3" i="4"/>
  <c r="S6" i="4"/>
  <c r="R3" i="5"/>
  <c r="BA3" i="5"/>
  <c r="BB7" i="4"/>
  <c r="BC3" i="4"/>
  <c r="F4" i="7"/>
  <c r="S7" i="4"/>
  <c r="T3" i="4"/>
  <c r="AP7" i="4"/>
  <c r="AQ3" i="4"/>
  <c r="AP3" i="5" s="1"/>
  <c r="AD7" i="4"/>
  <c r="AE3" i="4"/>
  <c r="AD3" i="5" s="1"/>
  <c r="C2" i="2"/>
  <c r="BB3" i="5" l="1"/>
  <c r="BC7" i="4"/>
  <c r="BD3" i="4"/>
  <c r="G6" i="4"/>
  <c r="G7" i="4" s="1"/>
  <c r="F3" i="5"/>
  <c r="H3" i="4"/>
  <c r="T6" i="4"/>
  <c r="S3" i="5"/>
  <c r="U3" i="4"/>
  <c r="T7" i="4"/>
  <c r="AQ7" i="4"/>
  <c r="AR3" i="4"/>
  <c r="AQ3" i="5" s="1"/>
  <c r="AE7" i="4"/>
  <c r="AF3" i="4"/>
  <c r="AE3" i="5" s="1"/>
  <c r="D3" i="2"/>
  <c r="C4" i="2"/>
  <c r="G3" i="5" l="1"/>
  <c r="H6" i="4"/>
  <c r="H7" i="4" s="1"/>
  <c r="I3" i="4"/>
  <c r="BC3" i="5"/>
  <c r="BE3" i="4"/>
  <c r="BD7" i="4"/>
  <c r="U6" i="4"/>
  <c r="T3" i="5"/>
  <c r="AS3" i="4"/>
  <c r="AR3" i="5" s="1"/>
  <c r="AR7" i="4"/>
  <c r="AG3" i="4"/>
  <c r="AF3" i="5" s="1"/>
  <c r="AF7" i="4"/>
  <c r="U7" i="4"/>
  <c r="V3" i="4"/>
  <c r="E3" i="2"/>
  <c r="D4" i="2"/>
  <c r="I6" i="4" l="1"/>
  <c r="I7" i="4" s="1"/>
  <c r="H3" i="5"/>
  <c r="J3" i="4"/>
  <c r="U3" i="5"/>
  <c r="V6" i="4"/>
  <c r="V7" i="4" s="1"/>
  <c r="BD3" i="5"/>
  <c r="BE7" i="4"/>
  <c r="BF3" i="4"/>
  <c r="AH3" i="4"/>
  <c r="AG3" i="5" s="1"/>
  <c r="AG7" i="4"/>
  <c r="W3" i="4"/>
  <c r="AS7" i="4"/>
  <c r="AT3" i="4"/>
  <c r="AS3" i="5" s="1"/>
  <c r="D6" i="2"/>
  <c r="F3" i="2"/>
  <c r="E4" i="2"/>
  <c r="W6" i="4" l="1"/>
  <c r="V3" i="5"/>
  <c r="I3" i="5"/>
  <c r="J6" i="4"/>
  <c r="J7" i="4" s="1"/>
  <c r="K3" i="4"/>
  <c r="BE3" i="5"/>
  <c r="BF7" i="4"/>
  <c r="BG3" i="4"/>
  <c r="AT7" i="4"/>
  <c r="AU3" i="4"/>
  <c r="AT3" i="5" s="1"/>
  <c r="AH7" i="4"/>
  <c r="AI3" i="4"/>
  <c r="AH3" i="5" s="1"/>
  <c r="X3" i="4"/>
  <c r="W7" i="4"/>
  <c r="B17" i="5"/>
  <c r="E5" i="2"/>
  <c r="E6" i="2"/>
  <c r="G3" i="2"/>
  <c r="F4" i="2"/>
  <c r="W3" i="5" l="1"/>
  <c r="X6" i="4"/>
  <c r="BF3" i="5"/>
  <c r="BH3" i="4"/>
  <c r="BG7" i="4"/>
  <c r="J3" i="5"/>
  <c r="K6" i="4"/>
  <c r="K7" i="4" s="1"/>
  <c r="L3" i="4"/>
  <c r="Y3" i="4"/>
  <c r="X7" i="4"/>
  <c r="AJ3" i="4"/>
  <c r="AI3" i="5" s="1"/>
  <c r="AI7" i="4"/>
  <c r="AU7" i="4"/>
  <c r="AV3" i="4"/>
  <c r="AU3" i="5" s="1"/>
  <c r="B18" i="5"/>
  <c r="B19" i="5" s="1"/>
  <c r="F6" i="2"/>
  <c r="F5" i="2"/>
  <c r="G6" i="2"/>
  <c r="G5" i="2"/>
  <c r="C17" i="5"/>
  <c r="C4" i="5"/>
  <c r="L6" i="4" l="1"/>
  <c r="L7" i="4" s="1"/>
  <c r="K3" i="5"/>
  <c r="M3" i="4"/>
  <c r="C5" i="4" s="1"/>
  <c r="BG3" i="5"/>
  <c r="BH7" i="4"/>
  <c r="BI3" i="4"/>
  <c r="AY5" i="4" s="1"/>
  <c r="Y6" i="4"/>
  <c r="X3" i="5"/>
  <c r="B29" i="5"/>
  <c r="B30" i="5" s="1"/>
  <c r="AK3" i="4"/>
  <c r="AJ3" i="5" s="1"/>
  <c r="AJ7" i="4"/>
  <c r="AW3" i="4"/>
  <c r="AV3" i="5" s="1"/>
  <c r="AV7" i="4"/>
  <c r="O5" i="4"/>
  <c r="D17" i="5"/>
  <c r="D4" i="5"/>
  <c r="C5" i="5"/>
  <c r="C6" i="5" s="1"/>
  <c r="BH3" i="5" l="1"/>
  <c r="M6" i="4"/>
  <c r="L3" i="5"/>
  <c r="C18" i="5"/>
  <c r="C19" i="5" s="1"/>
  <c r="AM5" i="4"/>
  <c r="Y7" i="4"/>
  <c r="Z7" i="4"/>
  <c r="AA5" i="4"/>
  <c r="D5" i="5"/>
  <c r="D6" i="5" s="1"/>
  <c r="D18" i="5" s="1"/>
  <c r="D19" i="5" s="1"/>
  <c r="D29" i="5" s="1"/>
  <c r="E17" i="5"/>
  <c r="E4" i="5"/>
  <c r="E5" i="5" s="1"/>
  <c r="E6" i="5" s="1"/>
  <c r="E18" i="5" s="1"/>
  <c r="M7" i="4" l="1"/>
  <c r="N7" i="4"/>
  <c r="BI7" i="4"/>
  <c r="BJ7" i="4"/>
  <c r="C29" i="5"/>
  <c r="E19" i="5"/>
  <c r="E29" i="5" s="1"/>
  <c r="E30" i="5" s="1"/>
  <c r="E31" i="5" s="1"/>
  <c r="E33" i="5" s="1"/>
  <c r="AK7" i="4"/>
  <c r="AL7" i="4"/>
  <c r="AW7" i="4"/>
  <c r="AX7" i="4"/>
  <c r="F17" i="5"/>
  <c r="F4" i="5"/>
  <c r="D30" i="5"/>
  <c r="D31" i="5" s="1"/>
  <c r="D33" i="5" s="1"/>
  <c r="C30" i="5" l="1"/>
  <c r="G17" i="5"/>
  <c r="G4" i="5"/>
  <c r="F5" i="5"/>
  <c r="F6" i="5" s="1"/>
  <c r="F18" i="5" l="1"/>
  <c r="F19" i="5" s="1"/>
  <c r="C31" i="5"/>
  <c r="H17" i="5"/>
  <c r="H4" i="5"/>
  <c r="H5" i="5" s="1"/>
  <c r="H6" i="5" s="1"/>
  <c r="H18" i="5" s="1"/>
  <c r="G5" i="5"/>
  <c r="G6" i="5" s="1"/>
  <c r="G18" i="5" s="1"/>
  <c r="G19" i="5" s="1"/>
  <c r="G29" i="5" s="1"/>
  <c r="C33" i="5" l="1"/>
  <c r="F29" i="5"/>
  <c r="H19" i="5"/>
  <c r="H29" i="5" s="1"/>
  <c r="H30" i="5" s="1"/>
  <c r="H31" i="5" s="1"/>
  <c r="H33" i="5" s="1"/>
  <c r="G30" i="5"/>
  <c r="G31" i="5" s="1"/>
  <c r="G33" i="5" s="1"/>
  <c r="I17" i="5"/>
  <c r="I4" i="5"/>
  <c r="I5" i="5" s="1"/>
  <c r="I6" i="5" s="1"/>
  <c r="I18" i="5" l="1"/>
  <c r="F30" i="5"/>
  <c r="I19" i="5"/>
  <c r="I29" i="5" s="1"/>
  <c r="I30" i="5" s="1"/>
  <c r="I31" i="5" s="1"/>
  <c r="I33" i="5" s="1"/>
  <c r="J17" i="5"/>
  <c r="J4" i="5"/>
  <c r="F31" i="5" l="1"/>
  <c r="J5" i="5"/>
  <c r="J6" i="5" s="1"/>
  <c r="J18" i="5" s="1"/>
  <c r="J19" i="5" s="1"/>
  <c r="J29" i="5" s="1"/>
  <c r="K17" i="5"/>
  <c r="K4" i="5"/>
  <c r="F33" i="5" l="1"/>
  <c r="J30" i="5"/>
  <c r="L17" i="5"/>
  <c r="L4" i="5"/>
  <c r="K5" i="5"/>
  <c r="K6" i="5" s="1"/>
  <c r="K18" i="5" s="1"/>
  <c r="K19" i="5" s="1"/>
  <c r="K29" i="5" s="1"/>
  <c r="J31" i="5" l="1"/>
  <c r="L5" i="5"/>
  <c r="L6" i="5" s="1"/>
  <c r="L18" i="5" s="1"/>
  <c r="L19" i="5" s="1"/>
  <c r="L29" i="5" s="1"/>
  <c r="M17" i="5"/>
  <c r="M4" i="5"/>
  <c r="M5" i="5" s="1"/>
  <c r="M6" i="5" s="1"/>
  <c r="K30" i="5"/>
  <c r="K31" i="5" s="1"/>
  <c r="K33" i="5" s="1"/>
  <c r="M18" i="5" l="1"/>
  <c r="C5" i="7"/>
  <c r="J33" i="5"/>
  <c r="M19" i="5"/>
  <c r="L30" i="5"/>
  <c r="L31" i="5" s="1"/>
  <c r="L33" i="5" s="1"/>
  <c r="N4" i="5"/>
  <c r="N5" i="5" s="1"/>
  <c r="N6" i="5" s="1"/>
  <c r="N17" i="5"/>
  <c r="M29" i="5" l="1"/>
  <c r="C11" i="7" s="1"/>
  <c r="C7" i="7"/>
  <c r="O4" i="5"/>
  <c r="O5" i="5" s="1"/>
  <c r="O6" i="5" s="1"/>
  <c r="O17" i="5"/>
  <c r="N18" i="5"/>
  <c r="N19" i="5" s="1"/>
  <c r="M30" i="5"/>
  <c r="M31" i="5" l="1"/>
  <c r="C12" i="7"/>
  <c r="N29" i="5"/>
  <c r="P4" i="5"/>
  <c r="P5" i="5" s="1"/>
  <c r="P6" i="5" s="1"/>
  <c r="P17" i="5"/>
  <c r="N30" i="5"/>
  <c r="O18" i="5"/>
  <c r="O19" i="5" s="1"/>
  <c r="O29" i="5" s="1"/>
  <c r="N31" i="5" l="1"/>
  <c r="M33" i="5"/>
  <c r="C13" i="7"/>
  <c r="O30" i="5"/>
  <c r="O31" i="5" s="1"/>
  <c r="O33" i="5" s="1"/>
  <c r="Q4" i="5"/>
  <c r="Q17" i="5"/>
  <c r="P18" i="5"/>
  <c r="P19" i="5" s="1"/>
  <c r="P29" i="5" s="1"/>
  <c r="N33" i="5" l="1"/>
  <c r="P30" i="5"/>
  <c r="P31" i="5" s="1"/>
  <c r="P33" i="5" s="1"/>
  <c r="R4" i="5"/>
  <c r="R17" i="5"/>
  <c r="Q5" i="5"/>
  <c r="Q6" i="5" s="1"/>
  <c r="Q18" i="5" l="1"/>
  <c r="Q19" i="5" s="1"/>
  <c r="R5" i="5"/>
  <c r="R6" i="5" s="1"/>
  <c r="S4" i="5"/>
  <c r="S17" i="5"/>
  <c r="Q29" i="5" l="1"/>
  <c r="Q30" i="5" s="1"/>
  <c r="R18" i="5"/>
  <c r="R19" i="5" s="1"/>
  <c r="R29" i="5" s="1"/>
  <c r="S5" i="5"/>
  <c r="S6" i="5" s="1"/>
  <c r="T4" i="5"/>
  <c r="T17" i="5"/>
  <c r="Q31" i="5" l="1"/>
  <c r="U4" i="5"/>
  <c r="U5" i="5" s="1"/>
  <c r="U6" i="5" s="1"/>
  <c r="U17" i="5"/>
  <c r="S18" i="5"/>
  <c r="S19" i="5" s="1"/>
  <c r="R30" i="5"/>
  <c r="R31" i="5" s="1"/>
  <c r="R33" i="5" s="1"/>
  <c r="T5" i="5"/>
  <c r="T6" i="5" s="1"/>
  <c r="S29" i="5" l="1"/>
  <c r="S30" i="5" s="1"/>
  <c r="S31" i="5" s="1"/>
  <c r="Q33" i="5"/>
  <c r="T18" i="5"/>
  <c r="T19" i="5" s="1"/>
  <c r="T29" i="5" s="1"/>
  <c r="V4" i="5"/>
  <c r="V17" i="5"/>
  <c r="U18" i="5"/>
  <c r="U19" i="5" s="1"/>
  <c r="U29" i="5" s="1"/>
  <c r="S33" i="5" l="1"/>
  <c r="V5" i="5"/>
  <c r="V6" i="5" s="1"/>
  <c r="U30" i="5"/>
  <c r="U31" i="5" s="1"/>
  <c r="U33" i="5" s="1"/>
  <c r="W4" i="5"/>
  <c r="W17" i="5"/>
  <c r="T30" i="5"/>
  <c r="T31" i="5" s="1"/>
  <c r="T33" i="5" s="1"/>
  <c r="V18" i="5" l="1"/>
  <c r="V19" i="5" s="1"/>
  <c r="V29" i="5" s="1"/>
  <c r="X4" i="5"/>
  <c r="X17" i="5"/>
  <c r="W5" i="5"/>
  <c r="W6" i="5" s="1"/>
  <c r="W18" i="5" l="1"/>
  <c r="W19" i="5" s="1"/>
  <c r="W29" i="5" s="1"/>
  <c r="X5" i="5"/>
  <c r="X6" i="5" s="1"/>
  <c r="V30" i="5"/>
  <c r="V31" i="5" s="1"/>
  <c r="V33" i="5" s="1"/>
  <c r="Y4" i="5"/>
  <c r="Y5" i="5" s="1"/>
  <c r="Y6" i="5" s="1"/>
  <c r="Y17" i="5"/>
  <c r="D5" i="7" l="1"/>
  <c r="X18" i="5"/>
  <c r="X19" i="5" s="1"/>
  <c r="X29" i="5" s="1"/>
  <c r="W30" i="5"/>
  <c r="W31" i="5" s="1"/>
  <c r="W33" i="5" s="1"/>
  <c r="Y18" i="5"/>
  <c r="Y19" i="5" s="1"/>
  <c r="Z4" i="5"/>
  <c r="Z5" i="5" s="1"/>
  <c r="Z6" i="5" s="1"/>
  <c r="Z17" i="5"/>
  <c r="Y29" i="5" l="1"/>
  <c r="D11" i="7" s="1"/>
  <c r="D7" i="7"/>
  <c r="X30" i="5"/>
  <c r="X31" i="5" s="1"/>
  <c r="X33" i="5" s="1"/>
  <c r="Z18" i="5"/>
  <c r="Z19" i="5" s="1"/>
  <c r="AA4" i="5"/>
  <c r="AA17" i="5"/>
  <c r="Y30" i="5" l="1"/>
  <c r="Y31" i="5" s="1"/>
  <c r="D12" i="7"/>
  <c r="Z29" i="5"/>
  <c r="AA5" i="5"/>
  <c r="AA6" i="5" s="1"/>
  <c r="AB4" i="5"/>
  <c r="AB17" i="5"/>
  <c r="Y33" i="5" l="1"/>
  <c r="D14" i="7" s="1"/>
  <c r="D13" i="7"/>
  <c r="Z30" i="5"/>
  <c r="AB5" i="5"/>
  <c r="AB6" i="5" s="1"/>
  <c r="AA18" i="5"/>
  <c r="AA19" i="5" s="1"/>
  <c r="AC4" i="5"/>
  <c r="AC5" i="5" s="1"/>
  <c r="AC6" i="5" s="1"/>
  <c r="AC17" i="5"/>
  <c r="Z31" i="5" l="1"/>
  <c r="AA29" i="5"/>
  <c r="AB18" i="5"/>
  <c r="AB19" i="5" s="1"/>
  <c r="AB29" i="5" s="1"/>
  <c r="AD4" i="5"/>
  <c r="AD5" i="5" s="1"/>
  <c r="AD6" i="5" s="1"/>
  <c r="AD17" i="5"/>
  <c r="AA30" i="5"/>
  <c r="AA31" i="5" s="1"/>
  <c r="AA33" i="5" s="1"/>
  <c r="AC18" i="5"/>
  <c r="AC19" i="5" s="1"/>
  <c r="AC29" i="5" s="1"/>
  <c r="Z33" i="5" l="1"/>
  <c r="AD18" i="5"/>
  <c r="AD19" i="5" s="1"/>
  <c r="AD29" i="5" s="1"/>
  <c r="AE4" i="5"/>
  <c r="AE17" i="5"/>
  <c r="AB30" i="5"/>
  <c r="AB31" i="5" s="1"/>
  <c r="AB33" i="5" s="1"/>
  <c r="AC30" i="5"/>
  <c r="AC31" i="5" s="1"/>
  <c r="AC33" i="5" s="1"/>
  <c r="AF4" i="5" l="1"/>
  <c r="AF5" i="5" s="1"/>
  <c r="AF6" i="5" s="1"/>
  <c r="AF17" i="5"/>
  <c r="AE5" i="5"/>
  <c r="AE6" i="5" s="1"/>
  <c r="AD30" i="5"/>
  <c r="AD31" i="5" s="1"/>
  <c r="AD33" i="5" s="1"/>
  <c r="AG4" i="5" l="1"/>
  <c r="AG5" i="5" s="1"/>
  <c r="AG6" i="5" s="1"/>
  <c r="AG17" i="5"/>
  <c r="AE18" i="5"/>
  <c r="AE19" i="5" s="1"/>
  <c r="AF18" i="5"/>
  <c r="AF19" i="5" s="1"/>
  <c r="AF29" i="5" s="1"/>
  <c r="AE29" i="5" l="1"/>
  <c r="AE30" i="5" s="1"/>
  <c r="AF30" i="5"/>
  <c r="AF31" i="5" s="1"/>
  <c r="AF33" i="5" s="1"/>
  <c r="AH4" i="5"/>
  <c r="AH17" i="5"/>
  <c r="AG18" i="5"/>
  <c r="AG19" i="5" s="1"/>
  <c r="AG29" i="5" s="1"/>
  <c r="AE31" i="5" l="1"/>
  <c r="AG30" i="5"/>
  <c r="AG31" i="5" s="1"/>
  <c r="AG33" i="5" s="1"/>
  <c r="AH5" i="5"/>
  <c r="AH6" i="5" s="1"/>
  <c r="AI4" i="5"/>
  <c r="AI17" i="5"/>
  <c r="AE33" i="5" l="1"/>
  <c r="AJ4" i="5"/>
  <c r="AJ17" i="5"/>
  <c r="AH18" i="5"/>
  <c r="AH19" i="5" s="1"/>
  <c r="AI5" i="5"/>
  <c r="AI6" i="5" s="1"/>
  <c r="AH29" i="5" l="1"/>
  <c r="AK4" i="5"/>
  <c r="AK5" i="5" s="1"/>
  <c r="AK6" i="5" s="1"/>
  <c r="E5" i="7" s="1"/>
  <c r="AK17" i="5"/>
  <c r="AJ5" i="5"/>
  <c r="AJ6" i="5" s="1"/>
  <c r="AI18" i="5"/>
  <c r="AI19" i="5" s="1"/>
  <c r="AI29" i="5" s="1"/>
  <c r="AH30" i="5"/>
  <c r="AH31" i="5" s="1"/>
  <c r="AH33" i="5" l="1"/>
  <c r="AI30" i="5"/>
  <c r="AI31" i="5" s="1"/>
  <c r="AI33" i="5" s="1"/>
  <c r="AK18" i="5"/>
  <c r="AK19" i="5" s="1"/>
  <c r="AJ18" i="5"/>
  <c r="AJ19" i="5" s="1"/>
  <c r="AJ29" i="5" s="1"/>
  <c r="AL4" i="5"/>
  <c r="AL5" i="5" s="1"/>
  <c r="AL6" i="5" s="1"/>
  <c r="AL17" i="5"/>
  <c r="AK29" i="5" l="1"/>
  <c r="E11" i="7" s="1"/>
  <c r="E7" i="7"/>
  <c r="AM4" i="5"/>
  <c r="AM5" i="5" s="1"/>
  <c r="AM6" i="5" s="1"/>
  <c r="AM17" i="5"/>
  <c r="AJ30" i="5"/>
  <c r="AJ31" i="5" s="1"/>
  <c r="AJ33" i="5" s="1"/>
  <c r="AL18" i="5"/>
  <c r="AL19" i="5" s="1"/>
  <c r="AK30" i="5" l="1"/>
  <c r="AL29" i="5"/>
  <c r="AL30" i="5" s="1"/>
  <c r="AK31" i="5"/>
  <c r="E12" i="7"/>
  <c r="AN4" i="5"/>
  <c r="AN5" i="5" s="1"/>
  <c r="AN6" i="5" s="1"/>
  <c r="AN17" i="5"/>
  <c r="AM18" i="5"/>
  <c r="AM19" i="5" s="1"/>
  <c r="AM29" i="5" s="1"/>
  <c r="AL31" i="5" l="1"/>
  <c r="AK33" i="5"/>
  <c r="E14" i="7" s="1"/>
  <c r="E13" i="7"/>
  <c r="AM30" i="5"/>
  <c r="AM31" i="5" s="1"/>
  <c r="AM33" i="5" s="1"/>
  <c r="AN18" i="5"/>
  <c r="AN19" i="5" s="1"/>
  <c r="AO4" i="5"/>
  <c r="AO5" i="5" s="1"/>
  <c r="AO6" i="5" s="1"/>
  <c r="AO17" i="5"/>
  <c r="AN29" i="5" l="1"/>
  <c r="AN30" i="5" s="1"/>
  <c r="AN31" i="5" s="1"/>
  <c r="AN33" i="5" s="1"/>
  <c r="AL33" i="5"/>
  <c r="AO18" i="5"/>
  <c r="AO19" i="5" s="1"/>
  <c r="AO29" i="5" s="1"/>
  <c r="AP4" i="5"/>
  <c r="AP17" i="5"/>
  <c r="AO30" i="5" l="1"/>
  <c r="AO31" i="5" s="1"/>
  <c r="AO33" i="5" s="1"/>
  <c r="AQ4" i="5"/>
  <c r="AQ17" i="5"/>
  <c r="AP5" i="5"/>
  <c r="AP6" i="5" s="1"/>
  <c r="AQ5" i="5" l="1"/>
  <c r="AQ6" i="5" s="1"/>
  <c r="AP18" i="5"/>
  <c r="AP19" i="5" s="1"/>
  <c r="AR4" i="5"/>
  <c r="AR17" i="5"/>
  <c r="AP29" i="5" l="1"/>
  <c r="AP30" i="5"/>
  <c r="AQ18" i="5"/>
  <c r="AQ19" i="5" s="1"/>
  <c r="AQ29" i="5" s="1"/>
  <c r="AR5" i="5"/>
  <c r="AR6" i="5" s="1"/>
  <c r="AS4" i="5"/>
  <c r="AS5" i="5" s="1"/>
  <c r="AS6" i="5" s="1"/>
  <c r="AS17" i="5"/>
  <c r="AP31" i="5" l="1"/>
  <c r="AR18" i="5"/>
  <c r="AR19" i="5" s="1"/>
  <c r="AR29" i="5" s="1"/>
  <c r="AS18" i="5"/>
  <c r="AS19" i="5" s="1"/>
  <c r="AS29" i="5" s="1"/>
  <c r="AQ30" i="5"/>
  <c r="AQ31" i="5" s="1"/>
  <c r="AQ33" i="5" s="1"/>
  <c r="AT4" i="5"/>
  <c r="AT17" i="5"/>
  <c r="AP33" i="5" l="1"/>
  <c r="AR30" i="5"/>
  <c r="AR31" i="5" s="1"/>
  <c r="AR33" i="5" s="1"/>
  <c r="AS30" i="5"/>
  <c r="AS31" i="5" s="1"/>
  <c r="AS33" i="5" s="1"/>
  <c r="AU4" i="5"/>
  <c r="AU5" i="5" s="1"/>
  <c r="AU6" i="5" s="1"/>
  <c r="AU17" i="5"/>
  <c r="AT5" i="5"/>
  <c r="AT6" i="5" s="1"/>
  <c r="AT18" i="5" l="1"/>
  <c r="AT19" i="5" s="1"/>
  <c r="AV4" i="5"/>
  <c r="AV17" i="5"/>
  <c r="AU18" i="5"/>
  <c r="AU19" i="5" s="1"/>
  <c r="AU29" i="5" s="1"/>
  <c r="AT29" i="5" l="1"/>
  <c r="AT30" i="5" s="1"/>
  <c r="AT31" i="5" s="1"/>
  <c r="AT33" i="5" s="1"/>
  <c r="AU30" i="5"/>
  <c r="AU31" i="5" s="1"/>
  <c r="AU33" i="5" s="1"/>
  <c r="AV5" i="5"/>
  <c r="AV6" i="5" s="1"/>
  <c r="AW4" i="5"/>
  <c r="AW17" i="5"/>
  <c r="AX4" i="5" l="1"/>
  <c r="AX5" i="5" s="1"/>
  <c r="AX6" i="5" s="1"/>
  <c r="AX17" i="5"/>
  <c r="AV18" i="5"/>
  <c r="AV19" i="5" s="1"/>
  <c r="AV29" i="5" s="1"/>
  <c r="AW5" i="5"/>
  <c r="AW6" i="5" s="1"/>
  <c r="F5" i="7" s="1"/>
  <c r="AV30" i="5" l="1"/>
  <c r="AV31" i="5" s="1"/>
  <c r="AV33" i="5" s="1"/>
  <c r="AW18" i="5"/>
  <c r="AW19" i="5" s="1"/>
  <c r="AX18" i="5"/>
  <c r="AX19" i="5" s="1"/>
  <c r="AY4" i="5"/>
  <c r="AY17" i="5"/>
  <c r="AW29" i="5" l="1"/>
  <c r="F11" i="7" s="1"/>
  <c r="F7" i="7"/>
  <c r="AX29" i="5"/>
  <c r="AX30" i="5" s="1"/>
  <c r="AY5" i="5"/>
  <c r="AY6" i="5" s="1"/>
  <c r="AZ4" i="5"/>
  <c r="AZ17" i="5"/>
  <c r="AW30" i="5"/>
  <c r="AW31" i="5" l="1"/>
  <c r="F12" i="7"/>
  <c r="AX31" i="5"/>
  <c r="AZ5" i="5"/>
  <c r="AZ6" i="5" s="1"/>
  <c r="AY18" i="5"/>
  <c r="AY19" i="5" s="1"/>
  <c r="BA4" i="5"/>
  <c r="BA5" i="5" s="1"/>
  <c r="BA6" i="5" s="1"/>
  <c r="BA17" i="5"/>
  <c r="AY29" i="5" l="1"/>
  <c r="AW33" i="5"/>
  <c r="F14" i="7" s="1"/>
  <c r="F13" i="7"/>
  <c r="AX33" i="5"/>
  <c r="AZ18" i="5"/>
  <c r="AZ19" i="5" s="1"/>
  <c r="AZ29" i="5" s="1"/>
  <c r="BA18" i="5"/>
  <c r="BA19" i="5" s="1"/>
  <c r="BA29" i="5" s="1"/>
  <c r="BB4" i="5"/>
  <c r="BB5" i="5" s="1"/>
  <c r="BB6" i="5" s="1"/>
  <c r="BB17" i="5"/>
  <c r="AY30" i="5" l="1"/>
  <c r="AZ30" i="5"/>
  <c r="AZ31" i="5" s="1"/>
  <c r="AZ33" i="5" s="1"/>
  <c r="BB18" i="5"/>
  <c r="BB19" i="5" s="1"/>
  <c r="BB29" i="5" s="1"/>
  <c r="BA30" i="5"/>
  <c r="BA31" i="5" s="1"/>
  <c r="BA33" i="5" s="1"/>
  <c r="BC4" i="5"/>
  <c r="BC5" i="5" s="1"/>
  <c r="BC6" i="5" s="1"/>
  <c r="BC17" i="5"/>
  <c r="AY31" i="5" l="1"/>
  <c r="BB30" i="5"/>
  <c r="BB31" i="5" s="1"/>
  <c r="BB33" i="5" s="1"/>
  <c r="BC18" i="5"/>
  <c r="BC19" i="5" s="1"/>
  <c r="BC29" i="5" s="1"/>
  <c r="BD4" i="5"/>
  <c r="BD17" i="5"/>
  <c r="AY33" i="5" l="1"/>
  <c r="BD5" i="5"/>
  <c r="BD6" i="5" s="1"/>
  <c r="BE4" i="5"/>
  <c r="BE17" i="5"/>
  <c r="BC30" i="5"/>
  <c r="BC31" i="5" s="1"/>
  <c r="BC33" i="5" s="1"/>
  <c r="BD18" i="5" l="1"/>
  <c r="BD19" i="5" s="1"/>
  <c r="BE5" i="5"/>
  <c r="BE6" i="5" s="1"/>
  <c r="BF4" i="5"/>
  <c r="BF17" i="5"/>
  <c r="BD29" i="5" l="1"/>
  <c r="BE18" i="5"/>
  <c r="BE19" i="5" s="1"/>
  <c r="BE29" i="5" s="1"/>
  <c r="BG4" i="5"/>
  <c r="BG17" i="5"/>
  <c r="BF5" i="5"/>
  <c r="BF6" i="5" s="1"/>
  <c r="BD30" i="5"/>
  <c r="BD31" i="5" l="1"/>
  <c r="BE30" i="5"/>
  <c r="BE31" i="5" s="1"/>
  <c r="BE33" i="5" s="1"/>
  <c r="BI4" i="5"/>
  <c r="BI5" i="5" s="1"/>
  <c r="BI6" i="5" s="1"/>
  <c r="BI17" i="5"/>
  <c r="BG5" i="5"/>
  <c r="BG6" i="5" s="1"/>
  <c r="BF18" i="5"/>
  <c r="BF19" i="5" s="1"/>
  <c r="BF29" i="5" s="1"/>
  <c r="BH4" i="5"/>
  <c r="BH17" i="5"/>
  <c r="BD33" i="5" l="1"/>
  <c r="BG18" i="5"/>
  <c r="BG19" i="5" s="1"/>
  <c r="BG29" i="5" s="1"/>
  <c r="BF30" i="5"/>
  <c r="BI18" i="5"/>
  <c r="BI19" i="5" s="1"/>
  <c r="BH5" i="5"/>
  <c r="BH6" i="5" s="1"/>
  <c r="G5" i="7" s="1"/>
  <c r="BI29" i="5" l="1"/>
  <c r="G11" i="7" s="1"/>
  <c r="BF31" i="5"/>
  <c r="BH18" i="5"/>
  <c r="BH19" i="5" s="1"/>
  <c r="BH29" i="5" s="1"/>
  <c r="BG30" i="5"/>
  <c r="BG31" i="5" s="1"/>
  <c r="BG33" i="5" s="1"/>
  <c r="BF33" i="5" l="1"/>
  <c r="G7" i="7"/>
  <c r="BI30" i="5"/>
  <c r="BH30" i="5"/>
  <c r="BH31" i="5" s="1"/>
  <c r="BH33" i="5" s="1"/>
  <c r="BI31" i="5" l="1"/>
  <c r="G12" i="7"/>
  <c r="BI33" i="5" l="1"/>
  <c r="G1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2" authorId="0" shapeId="0" xr:uid="{18271469-1213-C746-8036-B61E4EA1C71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اجاره مکان و موارد دیگر
</t>
        </r>
      </text>
    </comment>
    <comment ref="A23" authorId="0" shapeId="0" xr:uid="{E3BF95F8-DECA-C146-9509-B1C2ED6CE67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مواردی ک برای هرکس نیاز است مثل موارد مصرفی و ...
</t>
        </r>
      </text>
    </comment>
  </commentList>
</comments>
</file>

<file path=xl/sharedStrings.xml><?xml version="1.0" encoding="utf-8"?>
<sst xmlns="http://schemas.openxmlformats.org/spreadsheetml/2006/main" count="176" uniqueCount="126">
  <si>
    <t>Total Companies</t>
  </si>
  <si>
    <t>Recruite per company (Annual)</t>
  </si>
  <si>
    <t>Total Recruitement</t>
  </si>
  <si>
    <t>Online Ad Posting Conversion</t>
  </si>
  <si>
    <t>Total online ad posting (Annual)</t>
  </si>
  <si>
    <t>X Market Share</t>
  </si>
  <si>
    <t>X Total potantioal Ad posting (Annual)</t>
  </si>
  <si>
    <t>X Total potantioal Ad posting (Monthly)</t>
  </si>
  <si>
    <t>Average Ad Cost (IRT)</t>
  </si>
  <si>
    <t>Year 0</t>
  </si>
  <si>
    <t>Year 1</t>
  </si>
  <si>
    <t>Year 2</t>
  </si>
  <si>
    <t>Year 3</t>
  </si>
  <si>
    <t>Year 4</t>
  </si>
  <si>
    <t>Year 5</t>
  </si>
  <si>
    <t>Acqusitions</t>
  </si>
  <si>
    <t>Last Month Ads</t>
  </si>
  <si>
    <t>CMGR</t>
  </si>
  <si>
    <t>KPI Growth</t>
  </si>
  <si>
    <t>Month</t>
  </si>
  <si>
    <t>CAGR</t>
  </si>
  <si>
    <t>Economy Assumption</t>
  </si>
  <si>
    <t>Revenue Assumptions</t>
  </si>
  <si>
    <t>Inflation</t>
  </si>
  <si>
    <t>Marketing Assumptions</t>
  </si>
  <si>
    <t>Payroll Assumption</t>
  </si>
  <si>
    <t>Disscount and Promotions / Sales</t>
  </si>
  <si>
    <t>COR</t>
  </si>
  <si>
    <t>Revenue</t>
  </si>
  <si>
    <t>Ads</t>
  </si>
  <si>
    <t>Wage Growth</t>
  </si>
  <si>
    <t>C-Level</t>
  </si>
  <si>
    <t>Tech</t>
  </si>
  <si>
    <t>Expert</t>
  </si>
  <si>
    <t>Support</t>
  </si>
  <si>
    <t>Overhead</t>
  </si>
  <si>
    <t>Payroll</t>
  </si>
  <si>
    <t>Total Payroll</t>
  </si>
  <si>
    <t>Cost per Ad</t>
  </si>
  <si>
    <t>ATL</t>
  </si>
  <si>
    <t>ATL/ Revenue</t>
  </si>
  <si>
    <t>Marketing</t>
  </si>
  <si>
    <t>Total Marketing</t>
  </si>
  <si>
    <t>G&amp;A</t>
  </si>
  <si>
    <t>Rent</t>
  </si>
  <si>
    <t>Rent Per person</t>
  </si>
  <si>
    <t>Utilities per person</t>
  </si>
  <si>
    <t>other cost/total Cost</t>
  </si>
  <si>
    <t>TAX</t>
  </si>
  <si>
    <t>Depreciation</t>
  </si>
  <si>
    <t>Utilitis</t>
  </si>
  <si>
    <t>Total G&amp;A</t>
  </si>
  <si>
    <t>Asset</t>
  </si>
  <si>
    <t>Asset Per person Per month</t>
  </si>
  <si>
    <t>Depraction</t>
  </si>
  <si>
    <t>EBIT</t>
  </si>
  <si>
    <t>Net Income</t>
  </si>
  <si>
    <t>FCF</t>
  </si>
  <si>
    <t>Average Ad Cost (IRT) - First Year</t>
  </si>
  <si>
    <t>Average Ad Cost (IRT) - Last Year</t>
  </si>
  <si>
    <t>SOM (IRT) - Last Month of the Last Year</t>
  </si>
  <si>
    <t>Rogers Model</t>
  </si>
  <si>
    <t>Revenue Growth</t>
  </si>
  <si>
    <t>Years</t>
  </si>
  <si>
    <t>Months</t>
  </si>
  <si>
    <t>Annual Ads</t>
  </si>
  <si>
    <t>Monthly Revenue (IRMT)</t>
  </si>
  <si>
    <t>Revenue Monthly Growth Rate</t>
  </si>
  <si>
    <t>Total Sales</t>
  </si>
  <si>
    <t xml:space="preserve">Year </t>
  </si>
  <si>
    <t>Acquisition Cost (New Users)</t>
  </si>
  <si>
    <t>Salary</t>
  </si>
  <si>
    <t>Total Personnel</t>
  </si>
  <si>
    <t>Other Assumptions</t>
  </si>
  <si>
    <t>YEAR</t>
  </si>
  <si>
    <t>Assumptions</t>
  </si>
  <si>
    <t>DR</t>
  </si>
  <si>
    <t>DRtv</t>
  </si>
  <si>
    <t>g</t>
  </si>
  <si>
    <t>DCF Valuation</t>
  </si>
  <si>
    <t>Discunted FCF</t>
  </si>
  <si>
    <t>PV</t>
  </si>
  <si>
    <t>Pre-Money Valuation</t>
  </si>
  <si>
    <t>Cashneed</t>
  </si>
  <si>
    <t>Cumulative FCF</t>
  </si>
  <si>
    <t>Cash need</t>
  </si>
  <si>
    <t>Multiple</t>
  </si>
  <si>
    <t>EV/R</t>
  </si>
  <si>
    <t>EV/E</t>
  </si>
  <si>
    <t>DLOM</t>
  </si>
  <si>
    <t>Last Year EV/R Valuation</t>
  </si>
  <si>
    <t>Last Year EV/E Valuation</t>
  </si>
  <si>
    <t>PV EV/R Valuation</t>
  </si>
  <si>
    <t>PV EV/E Valuation</t>
  </si>
  <si>
    <t>EV/R Pre-Money Valuation</t>
  </si>
  <si>
    <t>EV/E Pre-Money Valuation</t>
  </si>
  <si>
    <t>DR/DRtv</t>
  </si>
  <si>
    <t>DR/g</t>
  </si>
  <si>
    <t>DR/EV-R</t>
  </si>
  <si>
    <t>DR/ EV-E</t>
  </si>
  <si>
    <t>First Chicago</t>
  </si>
  <si>
    <t>Rate Of Success</t>
  </si>
  <si>
    <t>Success</t>
  </si>
  <si>
    <t>Survive</t>
  </si>
  <si>
    <t>Failure</t>
  </si>
  <si>
    <t>Revenue At year 5</t>
  </si>
  <si>
    <t>Multiple Revenue</t>
  </si>
  <si>
    <t>Valuation Year 5</t>
  </si>
  <si>
    <t>PV of Valuation</t>
  </si>
  <si>
    <t>Sum Product</t>
  </si>
  <si>
    <t>Pre-Money Valution</t>
  </si>
  <si>
    <t>Failure Rate</t>
  </si>
  <si>
    <t>VC- Method</t>
  </si>
  <si>
    <t>Exit Year</t>
  </si>
  <si>
    <t>ROE</t>
  </si>
  <si>
    <t>Discount Rate VC Annuly</t>
  </si>
  <si>
    <t>Revenue at year 5</t>
  </si>
  <si>
    <t>Min</t>
  </si>
  <si>
    <t>Max</t>
  </si>
  <si>
    <t>Multiple EV/R</t>
  </si>
  <si>
    <t>Valuation year 5</t>
  </si>
  <si>
    <t xml:space="preserve">Pv of Valuation </t>
  </si>
  <si>
    <t>Average Pre-Money Valuation</t>
  </si>
  <si>
    <t>TV1</t>
  </si>
  <si>
    <t>PV of TV1</t>
  </si>
  <si>
    <t>TV2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</si>
</sst>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#,##0.0"/>
    <numFmt numFmtId="167" formatCode="0.000%"/>
    <numFmt numFmtId="168" formatCode="0.00_);[Red]\(0.0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Times Roman"/>
    </font>
    <font>
      <sz val="11"/>
      <color theme="0"/>
      <name val="Times Roman"/>
    </font>
    <font>
      <i/>
      <sz val="11"/>
      <color theme="0"/>
      <name val="Times Roman"/>
    </font>
    <font>
      <i/>
      <sz val="11"/>
      <color theme="1"/>
      <name val="Times Roman"/>
    </font>
    <font>
      <b/>
      <sz val="11"/>
      <color theme="0"/>
      <name val="Times Roman"/>
    </font>
    <font>
      <b/>
      <sz val="11"/>
      <color theme="1"/>
      <name val="Times Roman"/>
    </font>
    <font>
      <b/>
      <sz val="16"/>
      <color theme="0"/>
      <name val="Times New Roman"/>
      <family val="1"/>
    </font>
    <font>
      <b/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12"/>
      <color theme="0"/>
      <name val="Times Roman"/>
    </font>
    <font>
      <b/>
      <sz val="11"/>
      <color rgb="FF002060"/>
      <name val="Times Roman"/>
    </font>
    <font>
      <sz val="11"/>
      <color rgb="FF002060"/>
      <name val="Times Roman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0" fillId="9" borderId="0" applyNumberFormat="0" applyBorder="0" applyAlignment="0" applyProtection="0"/>
  </cellStyleXfs>
  <cellXfs count="172">
    <xf numFmtId="0" fontId="0" fillId="0" borderId="0" xfId="0"/>
    <xf numFmtId="3" fontId="0" fillId="0" borderId="0" xfId="0" applyNumberFormat="1"/>
    <xf numFmtId="16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5" fillId="0" borderId="4" xfId="0" applyNumberFormat="1" applyFont="1" applyBorder="1" applyAlignment="1">
      <alignment vertical="center"/>
    </xf>
    <xf numFmtId="165" fontId="5" fillId="0" borderId="4" xfId="1" applyNumberFormat="1" applyFont="1" applyBorder="1" applyAlignment="1">
      <alignment vertical="center"/>
    </xf>
    <xf numFmtId="9" fontId="5" fillId="0" borderId="4" xfId="0" applyNumberFormat="1" applyFont="1" applyBorder="1" applyAlignment="1">
      <alignment vertical="center"/>
    </xf>
    <xf numFmtId="165" fontId="5" fillId="0" borderId="4" xfId="0" applyNumberFormat="1" applyFont="1" applyBorder="1" applyAlignment="1">
      <alignment vertical="center"/>
    </xf>
    <xf numFmtId="0" fontId="7" fillId="3" borderId="3" xfId="3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3" fontId="8" fillId="0" borderId="4" xfId="3" applyNumberFormat="1" applyFont="1" applyBorder="1" applyAlignment="1">
      <alignment vertical="center"/>
    </xf>
    <xf numFmtId="165" fontId="5" fillId="4" borderId="4" xfId="0" applyNumberFormat="1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9" fontId="5" fillId="0" borderId="0" xfId="2" applyFont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0" fontId="5" fillId="0" borderId="8" xfId="0" applyNumberFormat="1" applyFont="1" applyBorder="1" applyAlignment="1">
      <alignment horizontal="center" vertical="center"/>
    </xf>
    <xf numFmtId="164" fontId="5" fillId="0" borderId="8" xfId="2" applyNumberFormat="1" applyFont="1" applyBorder="1" applyAlignment="1">
      <alignment horizontal="center" vertical="center"/>
    </xf>
    <xf numFmtId="164" fontId="5" fillId="0" borderId="4" xfId="2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4" fontId="5" fillId="0" borderId="4" xfId="1" applyNumberFormat="1" applyFont="1" applyBorder="1" applyAlignment="1">
      <alignment horizontal="center" vertical="center"/>
    </xf>
    <xf numFmtId="9" fontId="5" fillId="2" borderId="8" xfId="2" applyFont="1" applyFill="1" applyBorder="1" applyAlignment="1">
      <alignment horizontal="center" vertical="center"/>
    </xf>
    <xf numFmtId="9" fontId="5" fillId="0" borderId="8" xfId="2" applyFont="1" applyBorder="1" applyAlignment="1">
      <alignment horizontal="center" vertical="center"/>
    </xf>
    <xf numFmtId="9" fontId="5" fillId="0" borderId="4" xfId="2" applyFont="1" applyBorder="1" applyAlignment="1">
      <alignment horizontal="center" vertical="center"/>
    </xf>
    <xf numFmtId="3" fontId="5" fillId="6" borderId="8" xfId="0" applyNumberFormat="1" applyFont="1" applyFill="1" applyBorder="1" applyAlignment="1">
      <alignment horizontal="center" vertical="center"/>
    </xf>
    <xf numFmtId="10" fontId="5" fillId="0" borderId="8" xfId="2" applyNumberFormat="1" applyFont="1" applyBorder="1" applyAlignment="1">
      <alignment horizontal="center" vertical="center"/>
    </xf>
    <xf numFmtId="10" fontId="5" fillId="0" borderId="4" xfId="2" applyNumberFormat="1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10" fontId="10" fillId="0" borderId="8" xfId="2" applyNumberFormat="1" applyFont="1" applyFill="1" applyBorder="1" applyAlignment="1">
      <alignment horizontal="center" vertical="center"/>
    </xf>
    <xf numFmtId="164" fontId="10" fillId="0" borderId="8" xfId="2" applyNumberFormat="1" applyFont="1" applyFill="1" applyBorder="1" applyAlignment="1">
      <alignment horizontal="center" vertical="center"/>
    </xf>
    <xf numFmtId="9" fontId="10" fillId="0" borderId="8" xfId="2" applyFont="1" applyFill="1" applyBorder="1" applyAlignment="1">
      <alignment horizontal="center" vertical="center"/>
    </xf>
    <xf numFmtId="9" fontId="10" fillId="0" borderId="4" xfId="2" applyFont="1" applyFill="1" applyBorder="1" applyAlignment="1">
      <alignment horizontal="center" vertical="center"/>
    </xf>
    <xf numFmtId="4" fontId="11" fillId="3" borderId="10" xfId="0" applyNumberFormat="1" applyFont="1" applyFill="1" applyBorder="1" applyAlignment="1">
      <alignment horizontal="center" vertical="center" wrapText="1"/>
    </xf>
    <xf numFmtId="4" fontId="11" fillId="3" borderId="13" xfId="0" applyNumberFormat="1" applyFont="1" applyFill="1" applyBorder="1" applyAlignment="1">
      <alignment horizontal="center" vertical="center" wrapText="1"/>
    </xf>
    <xf numFmtId="4" fontId="14" fillId="0" borderId="3" xfId="0" applyNumberFormat="1" applyFont="1" applyBorder="1" applyAlignment="1">
      <alignment horizontal="center" vertical="center" wrapText="1"/>
    </xf>
    <xf numFmtId="4" fontId="14" fillId="0" borderId="8" xfId="0" applyNumberFormat="1" applyFont="1" applyBorder="1" applyAlignment="1">
      <alignment horizontal="center" vertical="center" wrapText="1"/>
    </xf>
    <xf numFmtId="4" fontId="14" fillId="0" borderId="4" xfId="0" applyNumberFormat="1" applyFont="1" applyBorder="1" applyAlignment="1">
      <alignment horizontal="center" vertical="center" wrapText="1"/>
    </xf>
    <xf numFmtId="4" fontId="14" fillId="0" borderId="15" xfId="0" applyNumberFormat="1" applyFont="1" applyBorder="1" applyAlignment="1">
      <alignment horizontal="center" vertical="center" wrapText="1"/>
    </xf>
    <xf numFmtId="4" fontId="11" fillId="3" borderId="18" xfId="0" applyNumberFormat="1" applyFont="1" applyFill="1" applyBorder="1" applyAlignment="1">
      <alignment horizontal="center" vertical="center" wrapText="1"/>
    </xf>
    <xf numFmtId="4" fontId="14" fillId="0" borderId="19" xfId="0" applyNumberFormat="1" applyFont="1" applyBorder="1" applyAlignment="1">
      <alignment horizontal="center" vertical="center" wrapText="1"/>
    </xf>
    <xf numFmtId="10" fontId="11" fillId="3" borderId="20" xfId="0" applyNumberFormat="1" applyFont="1" applyFill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10" fontId="14" fillId="0" borderId="9" xfId="0" applyNumberFormat="1" applyFont="1" applyBorder="1" applyAlignment="1">
      <alignment horizontal="center" vertical="center" wrapText="1"/>
    </xf>
    <xf numFmtId="10" fontId="14" fillId="0" borderId="21" xfId="0" applyNumberFormat="1" applyFont="1" applyBorder="1" applyAlignment="1">
      <alignment horizontal="center" vertical="center" wrapText="1"/>
    </xf>
    <xf numFmtId="10" fontId="14" fillId="0" borderId="6" xfId="0" applyNumberFormat="1" applyFont="1" applyBorder="1" applyAlignment="1">
      <alignment horizontal="center" vertical="center" wrapText="1"/>
    </xf>
    <xf numFmtId="10" fontId="14" fillId="0" borderId="22" xfId="0" applyNumberFormat="1" applyFon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38" fontId="5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9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9" fontId="5" fillId="0" borderId="8" xfId="2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5" fontId="5" fillId="0" borderId="8" xfId="1" applyNumberFormat="1" applyFont="1" applyBorder="1" applyAlignment="1">
      <alignment horizontal="left" vertical="center" wrapText="1"/>
    </xf>
    <xf numFmtId="9" fontId="5" fillId="0" borderId="8" xfId="0" applyNumberFormat="1" applyFont="1" applyBorder="1" applyAlignment="1">
      <alignment vertical="center" wrapText="1"/>
    </xf>
    <xf numFmtId="3" fontId="5" fillId="0" borderId="8" xfId="0" applyNumberFormat="1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5" fillId="0" borderId="8" xfId="1" applyNumberFormat="1" applyFont="1" applyBorder="1" applyAlignment="1">
      <alignment horizontal="center" vertical="center" wrapText="1"/>
    </xf>
    <xf numFmtId="3" fontId="5" fillId="0" borderId="4" xfId="1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9" fontId="5" fillId="0" borderId="9" xfId="0" applyNumberFormat="1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3" fontId="5" fillId="0" borderId="3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8" fontId="5" fillId="0" borderId="3" xfId="0" applyNumberFormat="1" applyFont="1" applyBorder="1" applyAlignment="1">
      <alignment horizontal="center" vertical="center"/>
    </xf>
    <xf numFmtId="38" fontId="5" fillId="0" borderId="8" xfId="0" applyNumberFormat="1" applyFont="1" applyBorder="1" applyAlignment="1">
      <alignment horizontal="center" vertical="center"/>
    </xf>
    <xf numFmtId="38" fontId="5" fillId="0" borderId="4" xfId="0" applyNumberFormat="1" applyFont="1" applyBorder="1" applyAlignment="1">
      <alignment horizontal="center" vertical="center"/>
    </xf>
    <xf numFmtId="38" fontId="5" fillId="0" borderId="5" xfId="0" applyNumberFormat="1" applyFont="1" applyBorder="1" applyAlignment="1">
      <alignment horizontal="center" vertical="center"/>
    </xf>
    <xf numFmtId="38" fontId="5" fillId="0" borderId="9" xfId="0" applyNumberFormat="1" applyFont="1" applyBorder="1" applyAlignment="1">
      <alignment horizontal="center" vertical="center"/>
    </xf>
    <xf numFmtId="38" fontId="5" fillId="0" borderId="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9" fillId="7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3" fontId="17" fillId="0" borderId="3" xfId="0" applyNumberFormat="1" applyFont="1" applyFill="1" applyBorder="1" applyAlignment="1">
      <alignment horizontal="center" vertical="center"/>
    </xf>
    <xf numFmtId="3" fontId="17" fillId="0" borderId="8" xfId="0" applyNumberFormat="1" applyFont="1" applyFill="1" applyBorder="1" applyAlignment="1">
      <alignment horizontal="center" vertical="center"/>
    </xf>
    <xf numFmtId="3" fontId="17" fillId="0" borderId="4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168" fontId="10" fillId="0" borderId="8" xfId="2" applyNumberFormat="1" applyFont="1" applyFill="1" applyBorder="1" applyAlignment="1">
      <alignment horizontal="center" vertical="center"/>
    </xf>
    <xf numFmtId="168" fontId="10" fillId="0" borderId="4" xfId="2" applyNumberFormat="1" applyFont="1" applyFill="1" applyBorder="1" applyAlignment="1">
      <alignment horizontal="center" vertical="center"/>
    </xf>
    <xf numFmtId="168" fontId="5" fillId="0" borderId="8" xfId="0" applyNumberFormat="1" applyFont="1" applyBorder="1" applyAlignment="1">
      <alignment horizontal="center" vertical="center"/>
    </xf>
    <xf numFmtId="168" fontId="5" fillId="0" borderId="8" xfId="2" applyNumberFormat="1" applyFont="1" applyBorder="1" applyAlignment="1">
      <alignment horizontal="center" vertical="center"/>
    </xf>
    <xf numFmtId="168" fontId="5" fillId="6" borderId="8" xfId="2" applyNumberFormat="1" applyFont="1" applyFill="1" applyBorder="1" applyAlignment="1">
      <alignment horizontal="center" vertical="center"/>
    </xf>
    <xf numFmtId="168" fontId="5" fillId="6" borderId="8" xfId="0" applyNumberFormat="1" applyFont="1" applyFill="1" applyBorder="1" applyAlignment="1">
      <alignment horizontal="center" vertical="center"/>
    </xf>
    <xf numFmtId="168" fontId="5" fillId="6" borderId="9" xfId="0" applyNumberFormat="1" applyFont="1" applyFill="1" applyBorder="1" applyAlignment="1">
      <alignment horizontal="center" vertical="center"/>
    </xf>
    <xf numFmtId="4" fontId="12" fillId="8" borderId="11" xfId="0" applyNumberFormat="1" applyFont="1" applyFill="1" applyBorder="1" applyAlignment="1">
      <alignment horizontal="center" vertical="center" wrapText="1"/>
    </xf>
    <xf numFmtId="4" fontId="14" fillId="8" borderId="14" xfId="0" applyNumberFormat="1" applyFont="1" applyFill="1" applyBorder="1" applyAlignment="1">
      <alignment horizontal="center" vertical="center" wrapText="1"/>
    </xf>
    <xf numFmtId="10" fontId="14" fillId="8" borderId="20" xfId="0" applyNumberFormat="1" applyFont="1" applyFill="1" applyBorder="1" applyAlignment="1">
      <alignment horizontal="center" vertical="center" wrapText="1"/>
    </xf>
    <xf numFmtId="3" fontId="14" fillId="8" borderId="3" xfId="0" applyNumberFormat="1" applyFont="1" applyFill="1" applyBorder="1" applyAlignment="1">
      <alignment horizontal="center" vertical="center" wrapText="1"/>
    </xf>
    <xf numFmtId="3" fontId="5" fillId="0" borderId="8" xfId="2" applyNumberFormat="1" applyFont="1" applyBorder="1" applyAlignment="1">
      <alignment horizontal="center" vertical="center"/>
    </xf>
    <xf numFmtId="3" fontId="5" fillId="0" borderId="4" xfId="2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5" fillId="0" borderId="9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0" fontId="20" fillId="9" borderId="0" xfId="4"/>
    <xf numFmtId="9" fontId="0" fillId="0" borderId="0" xfId="0" applyNumberFormat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10" borderId="23" xfId="0" applyNumberFormat="1" applyFill="1" applyBorder="1" applyAlignment="1">
      <alignment horizontal="center" vertical="center"/>
    </xf>
    <xf numFmtId="3" fontId="0" fillId="10" borderId="24" xfId="0" applyNumberFormat="1" applyFill="1" applyBorder="1" applyAlignment="1">
      <alignment horizontal="center" vertical="center"/>
    </xf>
    <xf numFmtId="3" fontId="0" fillId="10" borderId="25" xfId="0" applyNumberFormat="1" applyFill="1" applyBorder="1" applyAlignment="1">
      <alignment horizontal="center" vertical="center"/>
    </xf>
    <xf numFmtId="3" fontId="0" fillId="10" borderId="26" xfId="0" applyNumberFormat="1" applyFill="1" applyBorder="1" applyAlignment="1">
      <alignment horizontal="center" vertical="center"/>
    </xf>
    <xf numFmtId="3" fontId="0" fillId="10" borderId="0" xfId="0" applyNumberFormat="1" applyFill="1" applyBorder="1" applyAlignment="1">
      <alignment horizontal="center" vertical="center"/>
    </xf>
    <xf numFmtId="3" fontId="0" fillId="10" borderId="27" xfId="0" applyNumberFormat="1" applyFill="1" applyBorder="1" applyAlignment="1">
      <alignment horizontal="center" vertical="center"/>
    </xf>
    <xf numFmtId="3" fontId="0" fillId="10" borderId="28" xfId="0" applyNumberFormat="1" applyFill="1" applyBorder="1" applyAlignment="1">
      <alignment horizontal="center" vertical="center"/>
    </xf>
    <xf numFmtId="3" fontId="0" fillId="10" borderId="29" xfId="0" applyNumberFormat="1" applyFill="1" applyBorder="1" applyAlignment="1">
      <alignment horizontal="center" vertical="center"/>
    </xf>
    <xf numFmtId="3" fontId="0" fillId="10" borderId="30" xfId="0" applyNumberFormat="1" applyFill="1" applyBorder="1" applyAlignment="1">
      <alignment horizontal="center" vertical="center"/>
    </xf>
    <xf numFmtId="3" fontId="0" fillId="10" borderId="23" xfId="0" applyNumberFormat="1" applyFill="1" applyBorder="1"/>
    <xf numFmtId="3" fontId="0" fillId="10" borderId="24" xfId="0" applyNumberFormat="1" applyFill="1" applyBorder="1"/>
    <xf numFmtId="3" fontId="0" fillId="10" borderId="25" xfId="0" applyNumberFormat="1" applyFill="1" applyBorder="1"/>
    <xf numFmtId="3" fontId="0" fillId="10" borderId="26" xfId="0" applyNumberFormat="1" applyFill="1" applyBorder="1"/>
    <xf numFmtId="3" fontId="0" fillId="10" borderId="0" xfId="0" applyNumberFormat="1" applyFill="1" applyBorder="1"/>
    <xf numFmtId="3" fontId="0" fillId="10" borderId="27" xfId="0" applyNumberFormat="1" applyFill="1" applyBorder="1"/>
    <xf numFmtId="3" fontId="0" fillId="10" borderId="28" xfId="0" applyNumberFormat="1" applyFill="1" applyBorder="1"/>
    <xf numFmtId="3" fontId="0" fillId="10" borderId="29" xfId="0" applyNumberFormat="1" applyFill="1" applyBorder="1"/>
    <xf numFmtId="3" fontId="0" fillId="10" borderId="30" xfId="0" applyNumberFormat="1" applyFill="1" applyBorder="1"/>
    <xf numFmtId="0" fontId="21" fillId="0" borderId="0" xfId="0" applyFont="1"/>
    <xf numFmtId="9" fontId="0" fillId="0" borderId="0" xfId="2" applyFont="1"/>
    <xf numFmtId="3" fontId="0" fillId="10" borderId="31" xfId="0" applyNumberFormat="1" applyFill="1" applyBorder="1"/>
    <xf numFmtId="3" fontId="0" fillId="10" borderId="32" xfId="0" applyNumberFormat="1" applyFill="1" applyBorder="1"/>
    <xf numFmtId="3" fontId="0" fillId="10" borderId="33" xfId="0" applyNumberFormat="1" applyFill="1" applyBorder="1"/>
    <xf numFmtId="9" fontId="0" fillId="0" borderId="0" xfId="2" applyFont="1" applyAlignment="1">
      <alignment horizontal="center" vertical="center"/>
    </xf>
    <xf numFmtId="0" fontId="0" fillId="11" borderId="0" xfId="0" applyFill="1"/>
    <xf numFmtId="165" fontId="0" fillId="0" borderId="0" xfId="1" applyNumberFormat="1" applyFont="1" applyAlignment="1">
      <alignment horizontal="center" vertical="center"/>
    </xf>
    <xf numFmtId="165" fontId="0" fillId="0" borderId="0" xfId="0" applyNumberFormat="1"/>
    <xf numFmtId="165" fontId="0" fillId="0" borderId="0" xfId="1" applyNumberFormat="1" applyFont="1"/>
    <xf numFmtId="0" fontId="6" fillId="3" borderId="3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" fontId="14" fillId="0" borderId="3" xfId="0" applyNumberFormat="1" applyFont="1" applyBorder="1" applyAlignment="1">
      <alignment horizontal="center" vertical="center" wrapText="1"/>
    </xf>
    <xf numFmtId="4" fontId="14" fillId="0" borderId="8" xfId="0" applyNumberFormat="1" applyFont="1" applyBorder="1" applyAlignment="1">
      <alignment horizontal="center" vertical="center" wrapText="1"/>
    </xf>
    <xf numFmtId="4" fontId="14" fillId="0" borderId="4" xfId="0" applyNumberFormat="1" applyFont="1" applyBorder="1" applyAlignment="1">
      <alignment horizontal="center" vertical="center" wrapText="1"/>
    </xf>
    <xf numFmtId="4" fontId="14" fillId="0" borderId="13" xfId="0" applyNumberFormat="1" applyFont="1" applyBorder="1" applyAlignment="1">
      <alignment horizontal="center" vertical="center" wrapText="1"/>
    </xf>
    <xf numFmtId="4" fontId="14" fillId="0" borderId="16" xfId="0" applyNumberFormat="1" applyFont="1" applyBorder="1" applyAlignment="1">
      <alignment horizontal="center" vertical="center" wrapText="1"/>
    </xf>
    <xf numFmtId="4" fontId="14" fillId="0" borderId="17" xfId="0" applyNumberFormat="1" applyFont="1" applyBorder="1" applyAlignment="1">
      <alignment horizontal="center" vertical="center" wrapText="1"/>
    </xf>
    <xf numFmtId="4" fontId="14" fillId="0" borderId="15" xfId="0" applyNumberFormat="1" applyFont="1" applyBorder="1" applyAlignment="1">
      <alignment horizontal="center" vertical="center" wrapText="1"/>
    </xf>
    <xf numFmtId="4" fontId="13" fillId="3" borderId="1" xfId="0" applyNumberFormat="1" applyFont="1" applyFill="1" applyBorder="1" applyAlignment="1">
      <alignment horizontal="center" vertical="center" wrapText="1"/>
    </xf>
    <xf numFmtId="4" fontId="13" fillId="3" borderId="7" xfId="0" applyNumberFormat="1" applyFont="1" applyFill="1" applyBorder="1" applyAlignment="1">
      <alignment horizontal="center" vertical="center" wrapText="1"/>
    </xf>
    <xf numFmtId="4" fontId="13" fillId="3" borderId="2" xfId="0" applyNumberFormat="1" applyFont="1" applyFill="1" applyBorder="1" applyAlignment="1">
      <alignment horizontal="center" vertical="center" wrapText="1"/>
    </xf>
    <xf numFmtId="4" fontId="13" fillId="3" borderId="12" xfId="0" applyNumberFormat="1" applyFont="1" applyFill="1" applyBorder="1" applyAlignment="1">
      <alignment horizontal="center" vertical="center" wrapText="1"/>
    </xf>
    <xf numFmtId="10" fontId="14" fillId="0" borderId="3" xfId="0" applyNumberFormat="1" applyFont="1" applyBorder="1" applyAlignment="1">
      <alignment horizontal="center" vertical="center" wrapText="1"/>
    </xf>
    <xf numFmtId="10" fontId="14" fillId="0" borderId="8" xfId="0" applyNumberFormat="1" applyFont="1" applyBorder="1" applyAlignment="1">
      <alignment horizontal="center" vertical="center" wrapText="1"/>
    </xf>
    <xf numFmtId="10" fontId="14" fillId="0" borderId="4" xfId="0" applyNumberFormat="1" applyFont="1" applyBorder="1" applyAlignment="1">
      <alignment horizontal="center" vertical="center" wrapText="1"/>
    </xf>
    <xf numFmtId="167" fontId="14" fillId="0" borderId="3" xfId="0" applyNumberFormat="1" applyFont="1" applyBorder="1" applyAlignment="1">
      <alignment horizontal="center" vertical="center" wrapText="1"/>
    </xf>
    <xf numFmtId="167" fontId="14" fillId="0" borderId="8" xfId="0" applyNumberFormat="1" applyFont="1" applyBorder="1" applyAlignment="1">
      <alignment horizontal="center" vertical="center" wrapText="1"/>
    </xf>
    <xf numFmtId="167" fontId="14" fillId="0" borderId="4" xfId="0" applyNumberFormat="1" applyFont="1" applyBorder="1" applyAlignment="1">
      <alignment horizontal="center" vertical="center" wrapText="1"/>
    </xf>
    <xf numFmtId="10" fontId="14" fillId="0" borderId="15" xfId="0" applyNumberFormat="1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</cellXfs>
  <cellStyles count="5">
    <cellStyle name="Comma" xfId="1" builtinId="3"/>
    <cellStyle name="Explanatory Text" xfId="3" builtinId="53"/>
    <cellStyle name="Neutral" xfId="4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Personnel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Assumptions!$A$18</c:f>
              <c:strCache>
                <c:ptCount val="1"/>
                <c:pt idx="0">
                  <c:v>C-Level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Assumptions!$C$17:$G$17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Assumptions!$C$18:$G$18</c:f>
              <c:numCache>
                <c:formatCode>General</c:formatCode>
                <c:ptCount val="5"/>
                <c:pt idx="0" formatCode="#,##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8-AD47-B77B-C2EB4EFAC2A5}"/>
            </c:ext>
          </c:extLst>
        </c:ser>
        <c:ser>
          <c:idx val="0"/>
          <c:order val="1"/>
          <c:tx>
            <c:strRef>
              <c:f>Assumptions!$A$19</c:f>
              <c:strCache>
                <c:ptCount val="1"/>
                <c:pt idx="0">
                  <c:v>Tech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Assumptions!$C$17:$G$17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Assumptions!$C$19:$G$19</c:f>
              <c:numCache>
                <c:formatCode>#,##0</c:formatCode>
                <c:ptCount val="5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D8-AD47-B77B-C2EB4EFAC2A5}"/>
            </c:ext>
          </c:extLst>
        </c:ser>
        <c:ser>
          <c:idx val="2"/>
          <c:order val="2"/>
          <c:tx>
            <c:strRef>
              <c:f>Assumptions!$A$20</c:f>
              <c:strCache>
                <c:ptCount val="1"/>
                <c:pt idx="0">
                  <c:v>Expert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Assumptions!$C$17:$G$17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Assumptions!$C$20:$G$20</c:f>
              <c:numCache>
                <c:formatCode>#,##0</c:formatCode>
                <c:ptCount val="5"/>
                <c:pt idx="0">
                  <c:v>4</c:v>
                </c:pt>
                <c:pt idx="1">
                  <c:v>12</c:v>
                </c:pt>
                <c:pt idx="2">
                  <c:v>16</c:v>
                </c:pt>
                <c:pt idx="3">
                  <c:v>24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D8-AD47-B77B-C2EB4EFAC2A5}"/>
            </c:ext>
          </c:extLst>
        </c:ser>
        <c:ser>
          <c:idx val="3"/>
          <c:order val="3"/>
          <c:tx>
            <c:strRef>
              <c:f>Assumptions!$A$21</c:f>
              <c:strCache>
                <c:ptCount val="1"/>
                <c:pt idx="0">
                  <c:v>Support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Assumptions!$C$17:$G$17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Assumptions!$C$21:$G$21</c:f>
              <c:numCache>
                <c:formatCode>#,##0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D8-AD47-B77B-C2EB4EFAC2A5}"/>
            </c:ext>
          </c:extLst>
        </c:ser>
        <c:ser>
          <c:idx val="4"/>
          <c:order val="4"/>
          <c:tx>
            <c:strRef>
              <c:f>Assumptions!$B$23</c:f>
              <c:strCache>
                <c:ptCount val="1"/>
                <c:pt idx="0">
                  <c:v>Total Personnel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Assumptions!$C$17:$G$17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Assumptions!$C$23:$G$23</c:f>
              <c:numCache>
                <c:formatCode>#,##0</c:formatCode>
                <c:ptCount val="5"/>
                <c:pt idx="0">
                  <c:v>14</c:v>
                </c:pt>
                <c:pt idx="1">
                  <c:v>28</c:v>
                </c:pt>
                <c:pt idx="2">
                  <c:v>35</c:v>
                </c:pt>
                <c:pt idx="3">
                  <c:v>48</c:v>
                </c:pt>
                <c:pt idx="4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D8-AD47-B77B-C2EB4EFAC2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5193599"/>
        <c:axId val="1908953152"/>
      </c:lineChart>
      <c:catAx>
        <c:axId val="235193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953152"/>
        <c:crosses val="autoZero"/>
        <c:auto val="1"/>
        <c:lblAlgn val="ctr"/>
        <c:lblOffset val="100"/>
        <c:noMultiLvlLbl val="0"/>
      </c:catAx>
      <c:valAx>
        <c:axId val="19089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9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'Growth Model'!$A$7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'Growth Model'!$B$1:$G$1</c:f>
              <c:strCache>
                <c:ptCount val="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'Growth Model'!$B$7:$G$7</c:f>
              <c:numCache>
                <c:formatCode>#,##0</c:formatCode>
                <c:ptCount val="6"/>
                <c:pt idx="0">
                  <c:v>25000000</c:v>
                </c:pt>
                <c:pt idx="1">
                  <c:v>65104166.666666672</c:v>
                </c:pt>
                <c:pt idx="2">
                  <c:v>520833333.33333325</c:v>
                </c:pt>
                <c:pt idx="3">
                  <c:v>2034505208.3333333</c:v>
                </c:pt>
                <c:pt idx="4">
                  <c:v>4272460937.5</c:v>
                </c:pt>
                <c:pt idx="5">
                  <c:v>6357828776.041666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5E-2544-89BC-C639224116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1643903"/>
        <c:axId val="240741263"/>
      </c:lineChart>
      <c:catAx>
        <c:axId val="24164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41263"/>
        <c:crosses val="autoZero"/>
        <c:auto val="1"/>
        <c:lblAlgn val="ctr"/>
        <c:lblOffset val="100"/>
        <c:noMultiLvlLbl val="0"/>
      </c:catAx>
      <c:valAx>
        <c:axId val="24074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64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Summary!$A$14</c:f>
              <c:strCache>
                <c:ptCount val="1"/>
                <c:pt idx="0">
                  <c:v>FCF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Summary!$B$14:$G$14</c:f>
              <c:numCache>
                <c:formatCode>#,##0</c:formatCode>
                <c:ptCount val="6"/>
                <c:pt idx="1">
                  <c:v>-2923232947.9026294</c:v>
                </c:pt>
                <c:pt idx="2">
                  <c:v>-6421935485.9319067</c:v>
                </c:pt>
                <c:pt idx="3">
                  <c:v>-402900826.57483453</c:v>
                </c:pt>
                <c:pt idx="4">
                  <c:v>11054678122.80521</c:v>
                </c:pt>
                <c:pt idx="5">
                  <c:v>22796996111.18642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A2-CE43-A676-73E5F1406F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1643903"/>
        <c:axId val="240741263"/>
      </c:lineChart>
      <c:catAx>
        <c:axId val="24164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41263"/>
        <c:crosses val="autoZero"/>
        <c:auto val="1"/>
        <c:lblAlgn val="ctr"/>
        <c:lblOffset val="100"/>
        <c:noMultiLvlLbl val="0"/>
      </c:catAx>
      <c:valAx>
        <c:axId val="24074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64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28815</xdr:colOff>
      <xdr:row>6</xdr:row>
      <xdr:rowOff>223073</xdr:rowOff>
    </xdr:from>
    <xdr:to>
      <xdr:col>16</xdr:col>
      <xdr:colOff>470328</xdr:colOff>
      <xdr:row>18</xdr:row>
      <xdr:rowOff>179744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048E98-2740-A948-9353-C55C40FDD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78828</xdr:colOff>
      <xdr:row>0</xdr:row>
      <xdr:rowOff>8758</xdr:rowOff>
    </xdr:from>
    <xdr:to>
      <xdr:col>9</xdr:col>
      <xdr:colOff>1480207</xdr:colOff>
      <xdr:row>8</xdr:row>
      <xdr:rowOff>229475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391A2-EE85-404A-B41F-BDD1B0495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169543</xdr:colOff>
      <xdr:row>0</xdr:row>
      <xdr:rowOff>224205</xdr:rowOff>
    </xdr:from>
    <xdr:to>
      <xdr:col>13</xdr:col>
      <xdr:colOff>408215</xdr:colOff>
      <xdr:row>13</xdr:row>
      <xdr:rowOff>170089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0F166-F7C9-974B-AF58-428035165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medRhm7/Documents/Se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Mode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4A51-6D28-430A-BAE5-8A4C6C71A910}">
  <sheetPr codeName="Sheet1"/>
  <dimension ref="A1:D11"/>
  <sheetViews>
    <sheetView zoomScale="130" zoomScaleNormal="130" workbookViewId="0">
      <selection activeCell="A11" sqref="A11"/>
    </sheetView>
  </sheetViews>
  <sheetFormatPr defaultColWidth="8.85546875" defaultRowHeight="15"/>
  <cols>
    <col min="1" max="1" width="34" bestFit="1" customWidth="1"/>
    <col min="2" max="2" width="17.42578125" bestFit="1" customWidth="1"/>
  </cols>
  <sheetData>
    <row r="1" spans="1:4" ht="24.95" customHeight="1">
      <c r="A1" s="4" t="s">
        <v>0</v>
      </c>
      <c r="B1" s="5">
        <v>500000</v>
      </c>
      <c r="C1" s="3">
        <v>5000</v>
      </c>
      <c r="D1" s="3">
        <f>B1/C1</f>
        <v>100</v>
      </c>
    </row>
    <row r="2" spans="1:4" ht="24.95" customHeight="1">
      <c r="A2" s="6" t="s">
        <v>1</v>
      </c>
      <c r="B2" s="7">
        <v>5</v>
      </c>
      <c r="C2" s="3"/>
      <c r="D2" s="3"/>
    </row>
    <row r="3" spans="1:4" ht="24.95" customHeight="1">
      <c r="A3" s="6" t="s">
        <v>2</v>
      </c>
      <c r="B3" s="8">
        <f>B1*B2</f>
        <v>2500000</v>
      </c>
      <c r="C3" s="3"/>
      <c r="D3" s="3"/>
    </row>
    <row r="4" spans="1:4" ht="24.95" customHeight="1">
      <c r="A4" s="6" t="s">
        <v>3</v>
      </c>
      <c r="B4" s="9">
        <v>0.1</v>
      </c>
      <c r="C4" s="3"/>
      <c r="D4" s="3"/>
    </row>
    <row r="5" spans="1:4" ht="24.95" customHeight="1">
      <c r="A5" s="6" t="s">
        <v>4</v>
      </c>
      <c r="B5" s="10">
        <f>B3*B4</f>
        <v>250000</v>
      </c>
      <c r="C5" s="3"/>
      <c r="D5" s="3"/>
    </row>
    <row r="6" spans="1:4" ht="24.95" customHeight="1">
      <c r="A6" s="6" t="s">
        <v>5</v>
      </c>
      <c r="B6" s="9">
        <v>0.5</v>
      </c>
      <c r="C6" s="3"/>
      <c r="D6" s="3"/>
    </row>
    <row r="7" spans="1:4" ht="24.95" customHeight="1">
      <c r="A7" s="6" t="s">
        <v>6</v>
      </c>
      <c r="B7" s="10">
        <f>B5*B6</f>
        <v>125000</v>
      </c>
      <c r="C7" s="3"/>
      <c r="D7" s="3"/>
    </row>
    <row r="8" spans="1:4" ht="24.95" customHeight="1">
      <c r="A8" s="6" t="s">
        <v>7</v>
      </c>
      <c r="B8" s="15">
        <f>B7/12</f>
        <v>10416.666666666666</v>
      </c>
      <c r="C8" s="3"/>
      <c r="D8" s="3"/>
    </row>
    <row r="9" spans="1:4" ht="24.95" customHeight="1">
      <c r="A9" s="11" t="s">
        <v>58</v>
      </c>
      <c r="B9" s="14">
        <f>Assumptions!B7</f>
        <v>250000</v>
      </c>
      <c r="C9" s="3"/>
      <c r="D9" s="3"/>
    </row>
    <row r="10" spans="1:4" ht="24.95" customHeight="1">
      <c r="A10" s="6" t="s">
        <v>59</v>
      </c>
      <c r="B10" s="8">
        <f>B9*(1+Assumptions!B2)^5</f>
        <v>762939.453125</v>
      </c>
      <c r="C10" s="3"/>
      <c r="D10" s="3"/>
    </row>
    <row r="11" spans="1:4" ht="24.95" customHeight="1">
      <c r="A11" s="12" t="s">
        <v>60</v>
      </c>
      <c r="B11" s="13">
        <f>B10*B7</f>
        <v>95367431640.625</v>
      </c>
      <c r="C11" s="3"/>
      <c r="D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88FC-221D-44EE-BA8A-ED9CC89AFF8B}">
  <sheetPr codeName="Sheet2"/>
  <dimension ref="A1:H30"/>
  <sheetViews>
    <sheetView tabSelected="1" topLeftCell="A10" zoomScale="85" zoomScaleNormal="85" workbookViewId="0">
      <selection activeCell="I29" sqref="I28:I29"/>
    </sheetView>
  </sheetViews>
  <sheetFormatPr defaultColWidth="8.85546875" defaultRowHeight="20.100000000000001" customHeight="1"/>
  <cols>
    <col min="1" max="1" width="30.42578125" style="16" customWidth="1"/>
    <col min="2" max="3" width="12.85546875" style="16" customWidth="1"/>
    <col min="4" max="5" width="11.140625" style="16" bestFit="1" customWidth="1"/>
    <col min="6" max="6" width="12" style="16" bestFit="1" customWidth="1"/>
    <col min="7" max="16384" width="8.85546875" style="16"/>
  </cols>
  <sheetData>
    <row r="1" spans="1:7" ht="20.100000000000001" customHeight="1">
      <c r="A1" s="146" t="s">
        <v>21</v>
      </c>
      <c r="B1" s="147"/>
      <c r="C1" s="147"/>
      <c r="D1" s="147"/>
      <c r="E1" s="147"/>
      <c r="F1" s="147"/>
      <c r="G1" s="148"/>
    </row>
    <row r="2" spans="1:7" ht="20.100000000000001" customHeight="1">
      <c r="A2" s="58" t="s">
        <v>23</v>
      </c>
      <c r="B2" s="59">
        <v>0.25</v>
      </c>
      <c r="C2" s="60"/>
      <c r="D2" s="60"/>
      <c r="E2" s="60" t="s">
        <v>48</v>
      </c>
      <c r="F2" s="59">
        <v>0.25</v>
      </c>
      <c r="G2" s="61"/>
    </row>
    <row r="3" spans="1:7" ht="20.100000000000001" customHeight="1">
      <c r="A3" s="58" t="s">
        <v>30</v>
      </c>
      <c r="B3" s="62">
        <v>0.2</v>
      </c>
      <c r="C3" s="60"/>
      <c r="D3" s="60"/>
      <c r="E3" s="60" t="s">
        <v>49</v>
      </c>
      <c r="F3" s="59">
        <v>0.2</v>
      </c>
      <c r="G3" s="61"/>
    </row>
    <row r="4" spans="1:7" ht="20.100000000000001" customHeight="1">
      <c r="A4" s="58"/>
      <c r="B4" s="60"/>
      <c r="C4" s="60"/>
      <c r="D4" s="60"/>
      <c r="E4" s="60"/>
      <c r="F4" s="60"/>
      <c r="G4" s="61"/>
    </row>
    <row r="5" spans="1:7" ht="20.100000000000001" customHeight="1">
      <c r="A5" s="143" t="s">
        <v>22</v>
      </c>
      <c r="B5" s="144"/>
      <c r="C5" s="144"/>
      <c r="D5" s="144"/>
      <c r="E5" s="144"/>
      <c r="F5" s="144"/>
      <c r="G5" s="145"/>
    </row>
    <row r="6" spans="1:7" ht="20.100000000000001" customHeight="1">
      <c r="A6" s="58" t="s">
        <v>63</v>
      </c>
      <c r="B6" s="63" t="s">
        <v>10</v>
      </c>
      <c r="C6" s="63" t="s">
        <v>11</v>
      </c>
      <c r="D6" s="63" t="s">
        <v>12</v>
      </c>
      <c r="E6" s="63" t="s">
        <v>13</v>
      </c>
      <c r="F6" s="63" t="s">
        <v>14</v>
      </c>
      <c r="G6" s="61"/>
    </row>
    <row r="7" spans="1:7" ht="20.100000000000001" customHeight="1">
      <c r="A7" s="58" t="s">
        <v>8</v>
      </c>
      <c r="B7" s="64">
        <v>250000</v>
      </c>
      <c r="C7" s="64">
        <f>B7*(1+B2)</f>
        <v>312500</v>
      </c>
      <c r="D7" s="64">
        <f>B7*(1+B2)^2</f>
        <v>390625</v>
      </c>
      <c r="E7" s="64">
        <f>B7*(1+B2)^3</f>
        <v>488281.25</v>
      </c>
      <c r="F7" s="64">
        <f>B7*(1+B2)^4</f>
        <v>610351.5625</v>
      </c>
      <c r="G7" s="61"/>
    </row>
    <row r="8" spans="1:7" ht="20.100000000000001" customHeight="1">
      <c r="A8" s="58"/>
      <c r="B8" s="60"/>
      <c r="C8" s="60"/>
      <c r="D8" s="60"/>
      <c r="E8" s="60"/>
      <c r="F8" s="60"/>
      <c r="G8" s="61"/>
    </row>
    <row r="9" spans="1:7" ht="20.100000000000001" customHeight="1">
      <c r="A9" s="143" t="s">
        <v>24</v>
      </c>
      <c r="B9" s="144"/>
      <c r="C9" s="144"/>
      <c r="D9" s="144"/>
      <c r="E9" s="144"/>
      <c r="F9" s="144"/>
      <c r="G9" s="145"/>
    </row>
    <row r="10" spans="1:7" ht="20.100000000000001" customHeight="1">
      <c r="A10" s="58" t="s">
        <v>26</v>
      </c>
      <c r="B10" s="65">
        <v>0.1</v>
      </c>
      <c r="C10" s="60"/>
      <c r="D10" s="60"/>
      <c r="E10" s="60"/>
      <c r="F10" s="60"/>
      <c r="G10" s="61"/>
    </row>
    <row r="11" spans="1:7" ht="20.100000000000001" customHeight="1">
      <c r="A11" s="58" t="s">
        <v>63</v>
      </c>
      <c r="B11" s="63" t="s">
        <v>10</v>
      </c>
      <c r="C11" s="63" t="s">
        <v>11</v>
      </c>
      <c r="D11" s="63" t="s">
        <v>12</v>
      </c>
      <c r="E11" s="63" t="s">
        <v>13</v>
      </c>
      <c r="F11" s="63" t="s">
        <v>14</v>
      </c>
      <c r="G11" s="61"/>
    </row>
    <row r="12" spans="1:7" ht="20.100000000000001" customHeight="1">
      <c r="A12" s="58" t="s">
        <v>38</v>
      </c>
      <c r="B12" s="66">
        <v>20000</v>
      </c>
      <c r="C12" s="67">
        <f>B12*(1+C13)</f>
        <v>29000</v>
      </c>
      <c r="D12" s="67">
        <f>C12*(1+D13)</f>
        <v>39150</v>
      </c>
      <c r="E12" s="67">
        <f>D12*(1+E13)</f>
        <v>48937.5</v>
      </c>
      <c r="F12" s="67">
        <f>E12*(1+F13)</f>
        <v>70959.375</v>
      </c>
      <c r="G12" s="61"/>
    </row>
    <row r="13" spans="1:7" ht="20.100000000000001" customHeight="1">
      <c r="A13" s="58" t="s">
        <v>70</v>
      </c>
      <c r="B13" s="68"/>
      <c r="C13" s="65">
        <v>0.45</v>
      </c>
      <c r="D13" s="65">
        <v>0.35</v>
      </c>
      <c r="E13" s="65">
        <v>0.25</v>
      </c>
      <c r="F13" s="65">
        <v>0.45</v>
      </c>
      <c r="G13" s="61"/>
    </row>
    <row r="14" spans="1:7" ht="20.100000000000001" customHeight="1">
      <c r="A14" s="58" t="s">
        <v>40</v>
      </c>
      <c r="B14" s="65">
        <v>0.1</v>
      </c>
      <c r="C14" s="60"/>
      <c r="D14" s="60"/>
      <c r="E14" s="60"/>
      <c r="F14" s="60"/>
      <c r="G14" s="61"/>
    </row>
    <row r="15" spans="1:7" ht="20.100000000000001" customHeight="1">
      <c r="A15" s="58"/>
      <c r="B15" s="65"/>
      <c r="C15" s="60"/>
      <c r="D15" s="60"/>
      <c r="E15" s="60"/>
      <c r="F15" s="60"/>
      <c r="G15" s="61"/>
    </row>
    <row r="16" spans="1:7" ht="20.100000000000001" customHeight="1">
      <c r="A16" s="143" t="s">
        <v>25</v>
      </c>
      <c r="B16" s="144"/>
      <c r="C16" s="144"/>
      <c r="D16" s="144"/>
      <c r="E16" s="144"/>
      <c r="F16" s="144"/>
      <c r="G16" s="145"/>
    </row>
    <row r="17" spans="1:8" ht="20.100000000000001" customHeight="1">
      <c r="A17" s="58" t="s">
        <v>63</v>
      </c>
      <c r="B17" s="63" t="s">
        <v>71</v>
      </c>
      <c r="C17" s="63" t="s">
        <v>10</v>
      </c>
      <c r="D17" s="63" t="s">
        <v>11</v>
      </c>
      <c r="E17" s="63" t="s">
        <v>12</v>
      </c>
      <c r="F17" s="63" t="s">
        <v>13</v>
      </c>
      <c r="G17" s="69" t="s">
        <v>14</v>
      </c>
    </row>
    <row r="18" spans="1:8" ht="20.100000000000001" customHeight="1">
      <c r="A18" s="58" t="s">
        <v>31</v>
      </c>
      <c r="B18" s="66">
        <v>20000000</v>
      </c>
      <c r="C18" s="66">
        <v>3</v>
      </c>
      <c r="D18" s="63">
        <v>5</v>
      </c>
      <c r="E18" s="63">
        <v>6</v>
      </c>
      <c r="F18" s="63">
        <v>7</v>
      </c>
      <c r="G18" s="69">
        <v>7</v>
      </c>
    </row>
    <row r="19" spans="1:8" ht="20.100000000000001" customHeight="1">
      <c r="A19" s="58" t="s">
        <v>32</v>
      </c>
      <c r="B19" s="66">
        <v>18000000</v>
      </c>
      <c r="C19" s="66">
        <v>2</v>
      </c>
      <c r="D19" s="66">
        <v>6</v>
      </c>
      <c r="E19" s="66">
        <v>8</v>
      </c>
      <c r="F19" s="66">
        <v>12</v>
      </c>
      <c r="G19" s="70">
        <v>15</v>
      </c>
    </row>
    <row r="20" spans="1:8" ht="20.100000000000001" customHeight="1">
      <c r="A20" s="58" t="s">
        <v>33</v>
      </c>
      <c r="B20" s="66">
        <v>14000000</v>
      </c>
      <c r="C20" s="66">
        <v>4</v>
      </c>
      <c r="D20" s="66">
        <f>D19*2</f>
        <v>12</v>
      </c>
      <c r="E20" s="66">
        <f t="shared" ref="E20:F20" si="0">E19*2</f>
        <v>16</v>
      </c>
      <c r="F20" s="66">
        <f t="shared" si="0"/>
        <v>24</v>
      </c>
      <c r="G20" s="70">
        <v>30</v>
      </c>
    </row>
    <row r="21" spans="1:8" ht="20.100000000000001" customHeight="1">
      <c r="A21" s="58" t="s">
        <v>34</v>
      </c>
      <c r="B21" s="66">
        <v>6000000</v>
      </c>
      <c r="C21" s="71">
        <v>5</v>
      </c>
      <c r="D21" s="71">
        <f>C21*(1+$H$21)</f>
        <v>5</v>
      </c>
      <c r="E21" s="71">
        <f t="shared" ref="E21:F21" si="1">D21*(1+$H$21)</f>
        <v>5</v>
      </c>
      <c r="F21" s="71">
        <f t="shared" si="1"/>
        <v>5</v>
      </c>
      <c r="G21" s="72">
        <v>30</v>
      </c>
      <c r="H21" s="17"/>
    </row>
    <row r="22" spans="1:8" ht="20.100000000000001" customHeight="1">
      <c r="A22" s="58" t="s">
        <v>35</v>
      </c>
      <c r="B22" s="59">
        <v>0.38</v>
      </c>
      <c r="C22" s="60"/>
      <c r="D22" s="60"/>
      <c r="E22" s="60"/>
      <c r="F22" s="60"/>
      <c r="G22" s="61"/>
    </row>
    <row r="23" spans="1:8" ht="20.100000000000001" customHeight="1">
      <c r="A23" s="58"/>
      <c r="B23" s="63" t="s">
        <v>72</v>
      </c>
      <c r="C23" s="66">
        <f>SUM(C18,C19,C20,C21)</f>
        <v>14</v>
      </c>
      <c r="D23" s="66">
        <f t="shared" ref="D23:G23" si="2">SUM(D18,D19,D20,D21)</f>
        <v>28</v>
      </c>
      <c r="E23" s="66">
        <f t="shared" si="2"/>
        <v>35</v>
      </c>
      <c r="F23" s="66">
        <f t="shared" si="2"/>
        <v>48</v>
      </c>
      <c r="G23" s="70">
        <f t="shared" si="2"/>
        <v>82</v>
      </c>
    </row>
    <row r="24" spans="1:8" ht="20.100000000000001" customHeight="1">
      <c r="A24" s="58"/>
      <c r="B24" s="63"/>
      <c r="C24" s="66"/>
      <c r="D24" s="66"/>
      <c r="E24" s="66"/>
      <c r="F24" s="66"/>
      <c r="G24" s="70"/>
    </row>
    <row r="25" spans="1:8" ht="20.100000000000001" customHeight="1">
      <c r="A25" s="143" t="s">
        <v>73</v>
      </c>
      <c r="B25" s="144"/>
      <c r="C25" s="144"/>
      <c r="D25" s="144"/>
      <c r="E25" s="144"/>
      <c r="F25" s="144"/>
      <c r="G25" s="145"/>
    </row>
    <row r="26" spans="1:8" ht="20.100000000000001" customHeight="1">
      <c r="A26" s="58" t="s">
        <v>45</v>
      </c>
      <c r="B26" s="67">
        <v>700000</v>
      </c>
      <c r="C26" s="60"/>
      <c r="D26" s="60"/>
      <c r="E26" s="60"/>
      <c r="F26" s="60"/>
      <c r="G26" s="61"/>
    </row>
    <row r="27" spans="1:8" ht="20.100000000000001" customHeight="1">
      <c r="A27" s="58" t="s">
        <v>46</v>
      </c>
      <c r="B27" s="67">
        <v>200000</v>
      </c>
      <c r="C27" s="60"/>
      <c r="D27" s="60"/>
      <c r="E27" s="60"/>
      <c r="F27" s="60"/>
      <c r="G27" s="61"/>
    </row>
    <row r="28" spans="1:8" ht="20.100000000000001" customHeight="1">
      <c r="A28" s="58" t="s">
        <v>53</v>
      </c>
      <c r="B28" s="67">
        <f>10000000/12</f>
        <v>833333.33333333337</v>
      </c>
      <c r="C28" s="60"/>
      <c r="D28" s="60"/>
      <c r="E28" s="60"/>
      <c r="F28" s="60"/>
      <c r="G28" s="61"/>
    </row>
    <row r="29" spans="1:8" ht="20.100000000000001" customHeight="1">
      <c r="A29" s="58"/>
      <c r="B29" s="60"/>
      <c r="C29" s="60"/>
      <c r="D29" s="60"/>
      <c r="E29" s="60"/>
      <c r="F29" s="60"/>
      <c r="G29" s="61"/>
    </row>
    <row r="30" spans="1:8" ht="20.100000000000001" customHeight="1">
      <c r="A30" s="73" t="s">
        <v>47</v>
      </c>
      <c r="B30" s="74">
        <v>0.05</v>
      </c>
      <c r="C30" s="75"/>
      <c r="D30" s="75"/>
      <c r="E30" s="75"/>
      <c r="F30" s="75"/>
      <c r="G30" s="76"/>
    </row>
  </sheetData>
  <mergeCells count="5">
    <mergeCell ref="A25:G25"/>
    <mergeCell ref="A16:G16"/>
    <mergeCell ref="A9:G9"/>
    <mergeCell ref="A5:G5"/>
    <mergeCell ref="A1:G1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E958-8831-4624-8F7A-D464DBF9D6F0}">
  <sheetPr codeName="Sheet3"/>
  <dimension ref="A1:G11"/>
  <sheetViews>
    <sheetView zoomScale="112" zoomScaleNormal="145" workbookViewId="0">
      <selection activeCell="D7" sqref="D7"/>
    </sheetView>
  </sheetViews>
  <sheetFormatPr defaultColWidth="20.85546875" defaultRowHeight="24.95" customHeight="1"/>
  <sheetData>
    <row r="1" spans="1:7" ht="24.95" customHeight="1">
      <c r="A1" s="18"/>
      <c r="B1" s="19" t="s">
        <v>9</v>
      </c>
      <c r="C1" s="19" t="s">
        <v>10</v>
      </c>
      <c r="D1" s="19" t="s">
        <v>11</v>
      </c>
      <c r="E1" s="19" t="s">
        <v>12</v>
      </c>
      <c r="F1" s="19" t="s">
        <v>13</v>
      </c>
      <c r="G1" s="20" t="s">
        <v>14</v>
      </c>
    </row>
    <row r="2" spans="1:7" ht="24.95" customHeight="1">
      <c r="A2" s="21" t="s">
        <v>15</v>
      </c>
      <c r="B2" s="36">
        <f>B4/G4</f>
        <v>9.6000000000000009E-3</v>
      </c>
      <c r="C2" s="37">
        <f>2.5%-B2</f>
        <v>1.54E-2</v>
      </c>
      <c r="D2" s="37">
        <v>0.13500000000000001</v>
      </c>
      <c r="E2" s="38">
        <v>0.34</v>
      </c>
      <c r="F2" s="38">
        <v>0.34</v>
      </c>
      <c r="G2" s="39">
        <v>0.16</v>
      </c>
    </row>
    <row r="3" spans="1:7" ht="24.95" customHeight="1">
      <c r="A3" s="21" t="s">
        <v>61</v>
      </c>
      <c r="B3" s="22">
        <f>B2</f>
        <v>9.6000000000000009E-3</v>
      </c>
      <c r="C3" s="23">
        <f>C2+B3</f>
        <v>2.5000000000000001E-2</v>
      </c>
      <c r="D3" s="23">
        <f t="shared" ref="D3:G3" si="0">D2+C3</f>
        <v>0.16</v>
      </c>
      <c r="E3" s="23">
        <f t="shared" si="0"/>
        <v>0.5</v>
      </c>
      <c r="F3" s="23">
        <f t="shared" si="0"/>
        <v>0.84000000000000008</v>
      </c>
      <c r="G3" s="24">
        <f t="shared" si="0"/>
        <v>1</v>
      </c>
    </row>
    <row r="4" spans="1:7" ht="24.95" customHeight="1">
      <c r="A4" s="21" t="s">
        <v>16</v>
      </c>
      <c r="B4" s="25">
        <v>100</v>
      </c>
      <c r="C4" s="25">
        <f>C3*$G$4</f>
        <v>260.41666666666669</v>
      </c>
      <c r="D4" s="25">
        <f t="shared" ref="D4:F4" si="1">D3*$G$4</f>
        <v>1666.6666666666665</v>
      </c>
      <c r="E4" s="25">
        <f>E3*$G$4</f>
        <v>5208.333333333333</v>
      </c>
      <c r="F4" s="25">
        <f t="shared" si="1"/>
        <v>8750</v>
      </c>
      <c r="G4" s="26">
        <f>'Market Size'!B8</f>
        <v>10416.666666666666</v>
      </c>
    </row>
    <row r="5" spans="1:7" ht="24.95" customHeight="1">
      <c r="A5" s="21" t="s">
        <v>20</v>
      </c>
      <c r="B5" s="27">
        <f>((G4/B4)^(1/5))-1</f>
        <v>1.5324784205605915</v>
      </c>
      <c r="C5" s="28">
        <f>(C4/B4)-1</f>
        <v>1.604166666666667</v>
      </c>
      <c r="D5" s="28">
        <f>(D4/C4)-1</f>
        <v>5.3999999999999986</v>
      </c>
      <c r="E5" s="28">
        <f>(E4/D4)-1</f>
        <v>2.125</v>
      </c>
      <c r="F5" s="28">
        <f>(F4/E4)-1</f>
        <v>0.68000000000000016</v>
      </c>
      <c r="G5" s="29">
        <f>(G4/F4)-1</f>
        <v>0.19047619047619047</v>
      </c>
    </row>
    <row r="6" spans="1:7" ht="24.95" customHeight="1">
      <c r="A6" s="21" t="s">
        <v>17</v>
      </c>
      <c r="B6" s="30"/>
      <c r="C6" s="31">
        <f>((C4/B4)^(1/12))-1</f>
        <v>8.3026453515750553E-2</v>
      </c>
      <c r="D6" s="31">
        <f>((D4/C4)^(1/12))-1</f>
        <v>0.16729779324554639</v>
      </c>
      <c r="E6" s="31">
        <f>((E4/D4)^(1/12))-1</f>
        <v>9.9607015056278447E-2</v>
      </c>
      <c r="F6" s="31">
        <f>((F4/E4)^(1/12))-1</f>
        <v>4.4180968713311008E-2</v>
      </c>
      <c r="G6" s="32">
        <f>((G4/F4)^(1/12))-1</f>
        <v>1.463551444039024E-2</v>
      </c>
    </row>
    <row r="7" spans="1:7" ht="24.95" customHeight="1">
      <c r="A7" s="33" t="s">
        <v>62</v>
      </c>
      <c r="B7" s="34">
        <f>B4*Assumptions!B7</f>
        <v>25000000</v>
      </c>
      <c r="C7" s="34">
        <f>C4*Assumptions!$B$7</f>
        <v>65104166.666666672</v>
      </c>
      <c r="D7" s="34">
        <f>D4*Assumptions!$B$7*(1+Assumptions!$B$2)</f>
        <v>520833333.33333325</v>
      </c>
      <c r="E7" s="34">
        <f>E4*Assumptions!$B$7*(1+Assumptions!$B$2)^2</f>
        <v>2034505208.3333333</v>
      </c>
      <c r="F7" s="34">
        <f>F4*Assumptions!$B$7*(1+Assumptions!$B$2)^3</f>
        <v>4272460937.5</v>
      </c>
      <c r="G7" s="35">
        <f>G4*Assumptions!$B$7*(1+Assumptions!$B$2)^4</f>
        <v>6357828776.041666</v>
      </c>
    </row>
    <row r="8" spans="1:7" ht="24.95" customHeight="1">
      <c r="B8" s="1"/>
      <c r="C8" s="1"/>
      <c r="D8" s="1"/>
      <c r="E8" s="1"/>
      <c r="F8" s="1"/>
      <c r="G8" s="1"/>
    </row>
    <row r="9" spans="1:7" ht="24.95" customHeight="1">
      <c r="B9" s="1"/>
      <c r="C9" s="1"/>
      <c r="D9" s="1"/>
      <c r="E9" s="1"/>
      <c r="F9" s="1"/>
      <c r="G9" s="1"/>
    </row>
    <row r="10" spans="1:7" ht="24.95" customHeight="1">
      <c r="B10" s="1"/>
      <c r="C10" s="1"/>
      <c r="D10" s="1"/>
      <c r="E10" s="1"/>
      <c r="F10" s="1"/>
      <c r="G10" s="1"/>
    </row>
    <row r="11" spans="1:7" ht="24.95" customHeight="1">
      <c r="B11" s="1"/>
      <c r="C11" s="1"/>
      <c r="D11" s="1"/>
      <c r="E11" s="1"/>
      <c r="F11" s="1"/>
      <c r="G11" s="1"/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6E14-9FA8-4BCC-A6E1-8CDD6BEEE378}">
  <sheetPr codeName="Sheet4"/>
  <dimension ref="A1:BJ17"/>
  <sheetViews>
    <sheetView zoomScale="106" zoomScaleNormal="145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defaultColWidth="8.85546875" defaultRowHeight="15"/>
  <cols>
    <col min="1" max="1" width="29.42578125" customWidth="1"/>
    <col min="2" max="2" width="15.85546875" customWidth="1"/>
    <col min="3" max="3" width="17.5703125" bestFit="1" customWidth="1"/>
    <col min="4" max="62" width="15.85546875" customWidth="1"/>
  </cols>
  <sheetData>
    <row r="1" spans="1:62" ht="39.950000000000003" customHeight="1">
      <c r="A1" s="40" t="s">
        <v>63</v>
      </c>
      <c r="B1" s="101" t="s">
        <v>9</v>
      </c>
      <c r="C1" s="156" t="s">
        <v>10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  <c r="O1" s="156" t="s">
        <v>11</v>
      </c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8"/>
      <c r="AA1" s="156" t="s">
        <v>12</v>
      </c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8"/>
      <c r="AM1" s="156" t="s">
        <v>13</v>
      </c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8"/>
      <c r="AY1" s="159" t="s">
        <v>14</v>
      </c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8"/>
    </row>
    <row r="2" spans="1:62" ht="39.950000000000003" customHeight="1">
      <c r="A2" s="41" t="s">
        <v>64</v>
      </c>
      <c r="B2" s="102">
        <v>0</v>
      </c>
      <c r="C2" s="42">
        <v>1</v>
      </c>
      <c r="D2" s="43">
        <v>2</v>
      </c>
      <c r="E2" s="43">
        <v>3</v>
      </c>
      <c r="F2" s="43">
        <v>4</v>
      </c>
      <c r="G2" s="43">
        <v>5</v>
      </c>
      <c r="H2" s="43">
        <v>6</v>
      </c>
      <c r="I2" s="43">
        <v>7</v>
      </c>
      <c r="J2" s="43">
        <v>8</v>
      </c>
      <c r="K2" s="43">
        <v>9</v>
      </c>
      <c r="L2" s="43">
        <v>10</v>
      </c>
      <c r="M2" s="43">
        <v>11</v>
      </c>
      <c r="N2" s="44">
        <v>12</v>
      </c>
      <c r="O2" s="42">
        <v>13</v>
      </c>
      <c r="P2" s="43">
        <v>14</v>
      </c>
      <c r="Q2" s="43">
        <v>15</v>
      </c>
      <c r="R2" s="43">
        <v>16</v>
      </c>
      <c r="S2" s="43">
        <v>17</v>
      </c>
      <c r="T2" s="43">
        <v>18</v>
      </c>
      <c r="U2" s="43">
        <v>19</v>
      </c>
      <c r="V2" s="43">
        <v>20</v>
      </c>
      <c r="W2" s="43">
        <v>21</v>
      </c>
      <c r="X2" s="43">
        <v>22</v>
      </c>
      <c r="Y2" s="43">
        <v>23</v>
      </c>
      <c r="Z2" s="44">
        <v>24</v>
      </c>
      <c r="AA2" s="42">
        <v>25</v>
      </c>
      <c r="AB2" s="43">
        <v>26</v>
      </c>
      <c r="AC2" s="43">
        <v>27</v>
      </c>
      <c r="AD2" s="43">
        <v>28</v>
      </c>
      <c r="AE2" s="43">
        <v>29</v>
      </c>
      <c r="AF2" s="43">
        <v>30</v>
      </c>
      <c r="AG2" s="43">
        <v>31</v>
      </c>
      <c r="AH2" s="43">
        <v>32</v>
      </c>
      <c r="AI2" s="43">
        <v>33</v>
      </c>
      <c r="AJ2" s="43">
        <v>34</v>
      </c>
      <c r="AK2" s="43">
        <v>35</v>
      </c>
      <c r="AL2" s="44">
        <v>36</v>
      </c>
      <c r="AM2" s="42">
        <v>37</v>
      </c>
      <c r="AN2" s="43">
        <v>38</v>
      </c>
      <c r="AO2" s="43">
        <v>39</v>
      </c>
      <c r="AP2" s="43">
        <v>40</v>
      </c>
      <c r="AQ2" s="43">
        <v>41</v>
      </c>
      <c r="AR2" s="43">
        <v>42</v>
      </c>
      <c r="AS2" s="43">
        <v>43</v>
      </c>
      <c r="AT2" s="43">
        <v>44</v>
      </c>
      <c r="AU2" s="43">
        <v>45</v>
      </c>
      <c r="AV2" s="43">
        <v>46</v>
      </c>
      <c r="AW2" s="43">
        <v>47</v>
      </c>
      <c r="AX2" s="44">
        <v>48</v>
      </c>
      <c r="AY2" s="45">
        <v>49</v>
      </c>
      <c r="AZ2" s="43">
        <v>50</v>
      </c>
      <c r="BA2" s="43">
        <v>51</v>
      </c>
      <c r="BB2" s="43">
        <v>52</v>
      </c>
      <c r="BC2" s="43">
        <v>53</v>
      </c>
      <c r="BD2" s="43">
        <v>54</v>
      </c>
      <c r="BE2" s="43">
        <v>55</v>
      </c>
      <c r="BF2" s="43">
        <v>56</v>
      </c>
      <c r="BG2" s="43">
        <v>57</v>
      </c>
      <c r="BH2" s="43">
        <v>58</v>
      </c>
      <c r="BI2" s="43">
        <v>59</v>
      </c>
      <c r="BJ2" s="44">
        <v>60</v>
      </c>
    </row>
    <row r="3" spans="1:62" ht="39.950000000000003" customHeight="1">
      <c r="A3" s="41" t="s">
        <v>18</v>
      </c>
      <c r="B3" s="102">
        <f>'[1]Growth Model'!B4</f>
        <v>100</v>
      </c>
      <c r="C3" s="42">
        <f>B3+$C$4*B3</f>
        <v>108.30264535157505</v>
      </c>
      <c r="D3" s="43">
        <f>C3+$C$4*C3</f>
        <v>117.29462990149041</v>
      </c>
      <c r="E3" s="43">
        <f>D3+$C$4*D3</f>
        <v>127.03318703865367</v>
      </c>
      <c r="F3" s="43">
        <f t="shared" ref="F3:M3" si="0">E3+$C$4*E3</f>
        <v>137.58030203727608</v>
      </c>
      <c r="G3" s="43">
        <f t="shared" si="0"/>
        <v>149.0031065890569</v>
      </c>
      <c r="H3" s="43">
        <f t="shared" si="0"/>
        <v>161.37430609197565</v>
      </c>
      <c r="I3" s="43">
        <f t="shared" si="0"/>
        <v>174.77264241535758</v>
      </c>
      <c r="J3" s="43">
        <f t="shared" si="0"/>
        <v>189.28339508668117</v>
      </c>
      <c r="K3" s="43">
        <f t="shared" si="0"/>
        <v>204.99892409014896</v>
      </c>
      <c r="L3" s="43">
        <f t="shared" si="0"/>
        <v>222.01925773189859</v>
      </c>
      <c r="M3" s="43">
        <f t="shared" si="0"/>
        <v>240.45272931357752</v>
      </c>
      <c r="N3" s="44">
        <f>'[1]Growth Model'!C4</f>
        <v>260.41666666666669</v>
      </c>
      <c r="O3" s="42">
        <f>N3+N3*$O$4</f>
        <v>303.98380032436108</v>
      </c>
      <c r="P3" s="43">
        <f t="shared" ref="P3:Y3" si="1">O3+O3*$O$4</f>
        <v>354.83961930102151</v>
      </c>
      <c r="Q3" s="43">
        <f t="shared" si="1"/>
        <v>414.20350456617223</v>
      </c>
      <c r="R3" s="43">
        <f t="shared" si="1"/>
        <v>483.49883683466442</v>
      </c>
      <c r="S3" s="43">
        <f t="shared" si="1"/>
        <v>564.38712527389225</v>
      </c>
      <c r="T3" s="43">
        <f t="shared" si="1"/>
        <v>658.80784586841219</v>
      </c>
      <c r="U3" s="43">
        <f t="shared" si="1"/>
        <v>769.02494465504958</v>
      </c>
      <c r="V3" s="43">
        <f t="shared" si="1"/>
        <v>897.68112084661789</v>
      </c>
      <c r="W3" s="43">
        <f t="shared" si="1"/>
        <v>1047.8611914024457</v>
      </c>
      <c r="X3" s="43">
        <f t="shared" si="1"/>
        <v>1223.1660563517239</v>
      </c>
      <c r="Y3" s="43">
        <f t="shared" si="1"/>
        <v>1427.7990383522249</v>
      </c>
      <c r="Z3" s="44">
        <f>'[1]Growth Model'!D4</f>
        <v>1666.6666666666665</v>
      </c>
      <c r="AA3" s="42">
        <f>Z3+Z3*$AA$4</f>
        <v>1832.6783584271307</v>
      </c>
      <c r="AB3" s="43">
        <f t="shared" ref="AB3:AK3" si="2">AA3+AA3*$AA$4</f>
        <v>2015.2259792682976</v>
      </c>
      <c r="AC3" s="43">
        <f t="shared" si="2"/>
        <v>2215.9566237270783</v>
      </c>
      <c r="AD3" s="43">
        <f t="shared" si="2"/>
        <v>2436.6814485107216</v>
      </c>
      <c r="AE3" s="43">
        <f t="shared" si="2"/>
        <v>2679.3920142398833</v>
      </c>
      <c r="AF3" s="43">
        <f t="shared" si="2"/>
        <v>2946.2782549439476</v>
      </c>
      <c r="AG3" s="43">
        <f t="shared" si="2"/>
        <v>3239.7482374441352</v>
      </c>
      <c r="AH3" s="43">
        <f t="shared" si="2"/>
        <v>3562.4498889097849</v>
      </c>
      <c r="AI3" s="43">
        <f t="shared" si="2"/>
        <v>3917.2948886316594</v>
      </c>
      <c r="AJ3" s="43">
        <f t="shared" si="2"/>
        <v>4307.4849395834754</v>
      </c>
      <c r="AK3" s="43">
        <f t="shared" si="2"/>
        <v>4736.5406568152594</v>
      </c>
      <c r="AL3" s="44">
        <f>'[1]Growth Model'!E4</f>
        <v>5208.333333333333</v>
      </c>
      <c r="AM3" s="42">
        <f>AL3+AL3*$AM$4</f>
        <v>5438.4425453818276</v>
      </c>
      <c r="AN3" s="43">
        <f t="shared" ref="AN3:AW3" si="3">AM3+AM3*$AM$4</f>
        <v>5678.7182053284814</v>
      </c>
      <c r="AO3" s="43">
        <f t="shared" si="3"/>
        <v>5929.6094766898086</v>
      </c>
      <c r="AP3" s="43">
        <f t="shared" si="3"/>
        <v>6191.5853674615937</v>
      </c>
      <c r="AQ3" s="43">
        <f t="shared" si="3"/>
        <v>6465.1356068672085</v>
      </c>
      <c r="AR3" s="43">
        <f t="shared" si="3"/>
        <v>6750.7715608415219</v>
      </c>
      <c r="AS3" s="43">
        <f t="shared" si="3"/>
        <v>7049.0271879617712</v>
      </c>
      <c r="AT3" s="43">
        <f t="shared" si="3"/>
        <v>7360.460037612389</v>
      </c>
      <c r="AU3" s="43">
        <f t="shared" si="3"/>
        <v>7685.6522922497179</v>
      </c>
      <c r="AV3" s="43">
        <f t="shared" si="3"/>
        <v>8025.2118557149897</v>
      </c>
      <c r="AW3" s="43">
        <f t="shared" si="3"/>
        <v>8379.7734896300262</v>
      </c>
      <c r="AX3" s="44">
        <f>'[1]Growth Model'!F4</f>
        <v>8750</v>
      </c>
      <c r="AY3" s="45">
        <f>AX3+AX3*$AY$4</f>
        <v>8878.0607513534142</v>
      </c>
      <c r="AZ3" s="43">
        <f t="shared" ref="AZ3:BI3" si="4">AY3+AY3*$AY$4</f>
        <v>9007.9957376825096</v>
      </c>
      <c r="BA3" s="43">
        <f t="shared" si="4"/>
        <v>9139.8323893803354</v>
      </c>
      <c r="BB3" s="43">
        <f t="shared" si="4"/>
        <v>9273.5985382978579</v>
      </c>
      <c r="BC3" s="43">
        <f t="shared" si="4"/>
        <v>9409.3224236194983</v>
      </c>
      <c r="BD3" s="43">
        <f t="shared" si="4"/>
        <v>9547.0326978246685</v>
      </c>
      <c r="BE3" s="43">
        <f t="shared" si="4"/>
        <v>9686.7584327365585</v>
      </c>
      <c r="BF3" s="43">
        <f t="shared" si="4"/>
        <v>9828.5291256594464</v>
      </c>
      <c r="BG3" s="43">
        <f t="shared" si="4"/>
        <v>9972.374705605831</v>
      </c>
      <c r="BH3" s="43">
        <f t="shared" si="4"/>
        <v>10118.325539614707</v>
      </c>
      <c r="BI3" s="43">
        <f t="shared" si="4"/>
        <v>10266.412439162308</v>
      </c>
      <c r="BJ3" s="44">
        <f>'[1]Growth Model'!G4</f>
        <v>10416.666666666666</v>
      </c>
    </row>
    <row r="4" spans="1:62" ht="39.950000000000003" customHeight="1">
      <c r="A4" s="41" t="s">
        <v>17</v>
      </c>
      <c r="B4" s="102"/>
      <c r="C4" s="160">
        <f>(N3/B3)^(1/12)-1</f>
        <v>8.3026453515750553E-2</v>
      </c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2"/>
      <c r="O4" s="163">
        <f>(Z3/N3)^(1/12)-1</f>
        <v>0.16729779324554639</v>
      </c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5"/>
      <c r="AA4" s="160">
        <f>(AL3/Z3)^(1/12)-1</f>
        <v>9.9607015056278447E-2</v>
      </c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2"/>
      <c r="AM4" s="160">
        <f>(AX3/AL3)^(1/12)-1</f>
        <v>4.4180968713311008E-2</v>
      </c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2"/>
      <c r="AY4" s="166">
        <f>(BJ3/AX3)^(1/12)-1</f>
        <v>1.463551444039024E-2</v>
      </c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2"/>
    </row>
    <row r="5" spans="1:62" ht="39.950000000000003" customHeight="1">
      <c r="A5" s="41" t="s">
        <v>65</v>
      </c>
      <c r="B5" s="102"/>
      <c r="C5" s="149">
        <f>SUM(C3:N3)</f>
        <v>2092.531792314358</v>
      </c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1"/>
      <c r="O5" s="152">
        <f>SUM(O3:Z3)</f>
        <v>9811.9197504432523</v>
      </c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4"/>
      <c r="AA5" s="149">
        <f>SUM(AA3:AL3)</f>
        <v>39098.064623834704</v>
      </c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1"/>
      <c r="AM5" s="149">
        <f>SUM(AM3:AX3)</f>
        <v>83704.387625739328</v>
      </c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1"/>
      <c r="AY5" s="155">
        <f>SUM(AY3:BJ3)</f>
        <v>115544.9094476038</v>
      </c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1"/>
    </row>
    <row r="6" spans="1:62" ht="39.950000000000003" customHeight="1">
      <c r="A6" s="46" t="s">
        <v>66</v>
      </c>
      <c r="B6" s="104">
        <f>B3*Assumptions!B7/1000000</f>
        <v>25</v>
      </c>
      <c r="C6" s="54">
        <f>C3*Assumptions!$B$7/1000000</f>
        <v>27.075661337893763</v>
      </c>
      <c r="D6" s="54">
        <f>D3*Assumptions!$B$7/1000000</f>
        <v>29.323657475372602</v>
      </c>
      <c r="E6" s="54">
        <f>E3*Assumptions!$B$7/1000000</f>
        <v>31.758296759663416</v>
      </c>
      <c r="F6" s="54">
        <f>F3*Assumptions!$B$7/1000000</f>
        <v>34.395075509319021</v>
      </c>
      <c r="G6" s="54">
        <f>G3*Assumptions!$B$7/1000000</f>
        <v>37.250776647264225</v>
      </c>
      <c r="H6" s="54">
        <f>H3*Assumptions!$B$7/1000000</f>
        <v>40.343576522993914</v>
      </c>
      <c r="I6" s="54">
        <f>I3*Assumptions!$B$7/1000000</f>
        <v>43.693160603839395</v>
      </c>
      <c r="J6" s="54">
        <f>J3*Assumptions!$B$7/1000000</f>
        <v>47.320848771670292</v>
      </c>
      <c r="K6" s="54">
        <f>K3*Assumptions!$B$7/1000000</f>
        <v>51.24973102253724</v>
      </c>
      <c r="L6" s="54">
        <f>L3*Assumptions!$B$7/1000000</f>
        <v>55.504814432974655</v>
      </c>
      <c r="M6" s="54">
        <f>M3*Assumptions!$B$7/1000000</f>
        <v>60.11318232839438</v>
      </c>
      <c r="N6" s="54">
        <f>N3*Assumptions!$B$7/1000000</f>
        <v>65.104166666666671</v>
      </c>
      <c r="O6" s="43">
        <f>O3*Assumptions!$C$7/1000000</f>
        <v>94.994937601362835</v>
      </c>
      <c r="P6" s="43">
        <f>P3*Assumptions!$C$7/1000000</f>
        <v>110.88738103156923</v>
      </c>
      <c r="Q6" s="43">
        <f>Q3*Assumptions!$C$7/1000000</f>
        <v>129.43859517692883</v>
      </c>
      <c r="R6" s="43">
        <f>R3*Assumptions!$C$7/1000000</f>
        <v>151.09338651083263</v>
      </c>
      <c r="S6" s="43">
        <f>S3*Assumptions!$C$7/1000000</f>
        <v>176.37097664809133</v>
      </c>
      <c r="T6" s="43">
        <f>T3*Assumptions!$C$7/1000000</f>
        <v>205.87745183387881</v>
      </c>
      <c r="U6" s="43">
        <f>U3*Assumptions!$C$7/1000000</f>
        <v>240.320295204703</v>
      </c>
      <c r="V6" s="43">
        <f>V3*Assumptions!$C$7/1000000</f>
        <v>280.52535026456809</v>
      </c>
      <c r="W6" s="43">
        <f>W3*Assumptions!$C$7/1000000</f>
        <v>327.45662231326423</v>
      </c>
      <c r="X6" s="43">
        <f>X3*Assumptions!$C$7/1000000</f>
        <v>382.23939260991369</v>
      </c>
      <c r="Y6" s="43">
        <f>Y3*Assumptions!$C$7/1000000</f>
        <v>446.18719948507027</v>
      </c>
      <c r="Z6" s="43">
        <f>Z3*Assumptions!$C$7/1000000</f>
        <v>520.83333333333326</v>
      </c>
      <c r="AA6" s="43">
        <f>AA3*Assumptions!$D$7/1000000</f>
        <v>715.88998376059794</v>
      </c>
      <c r="AB6" s="43">
        <f>AB3*Assumptions!$D$7/1000000</f>
        <v>787.19764815167878</v>
      </c>
      <c r="AC6" s="43">
        <f>AC3*Assumptions!$D$7/1000000</f>
        <v>865.60805614338994</v>
      </c>
      <c r="AD6" s="43">
        <f>AD3*Assumptions!$D$7/1000000</f>
        <v>951.82869082450054</v>
      </c>
      <c r="AE6" s="43">
        <f>AE3*Assumptions!$D$7/1000000</f>
        <v>1046.6375055624544</v>
      </c>
      <c r="AF6" s="43">
        <f>AF3*Assumptions!$D$7/1000000</f>
        <v>1150.8899433374795</v>
      </c>
      <c r="AG6" s="43">
        <f>AG3*Assumptions!$D$7/1000000</f>
        <v>1265.5266552516152</v>
      </c>
      <c r="AH6" s="43">
        <f>AH3*Assumptions!$D$7/1000000</f>
        <v>1391.5819878553848</v>
      </c>
      <c r="AI6" s="43">
        <f>AI3*Assumptions!$D$7/1000000</f>
        <v>1530.193315871742</v>
      </c>
      <c r="AJ6" s="43">
        <f>AJ3*Assumptions!$D$7/1000000</f>
        <v>1682.6113045247951</v>
      </c>
      <c r="AK6" s="43">
        <f>AK3*Assumptions!$D$7/1000000</f>
        <v>1850.2111940684606</v>
      </c>
      <c r="AL6" s="43">
        <f>AL3*Assumptions!$D$7/1000000</f>
        <v>2034.5052083333333</v>
      </c>
      <c r="AM6" s="43">
        <f>AM3*Assumptions!$E$7/1000000</f>
        <v>2655.4895241122204</v>
      </c>
      <c r="AN6" s="43">
        <f>AN3*Assumptions!$E$7/1000000</f>
        <v>2772.8116236955475</v>
      </c>
      <c r="AO6" s="43">
        <f>AO3*Assumptions!$E$7/1000000</f>
        <v>2895.3171272899458</v>
      </c>
      <c r="AP6" s="43">
        <f>AP3*Assumptions!$E$7/1000000</f>
        <v>3023.2350427058564</v>
      </c>
      <c r="AQ6" s="43">
        <f>AQ3*Assumptions!$E$7/1000000</f>
        <v>3156.804495540629</v>
      </c>
      <c r="AR6" s="43">
        <f>AR3*Assumptions!$E$7/1000000</f>
        <v>3296.275176192149</v>
      </c>
      <c r="AS6" s="43">
        <f>AS3*Assumptions!$E$7/1000000</f>
        <v>3441.9078066219586</v>
      </c>
      <c r="AT6" s="43">
        <f>AT3*Assumptions!$E$7/1000000</f>
        <v>3593.9746277404242</v>
      </c>
      <c r="AU6" s="43">
        <f>AU3*Assumptions!$E$7/1000000</f>
        <v>3752.7599083250575</v>
      </c>
      <c r="AV6" s="43">
        <f>AV3*Assumptions!$E$7/1000000</f>
        <v>3918.5604764233344</v>
      </c>
      <c r="AW6" s="43">
        <f>AW3*Assumptions!$E$7/1000000</f>
        <v>4091.6862742334115</v>
      </c>
      <c r="AX6" s="43">
        <f>AX3*Assumptions!$E$7/1000000</f>
        <v>4272.4609375</v>
      </c>
      <c r="AY6" s="44">
        <f>AY3*Assumptions!$F$7/1000000</f>
        <v>5418.7382515584804</v>
      </c>
      <c r="AZ6" s="47">
        <f>AZ3*Assumptions!$F$7/1000000</f>
        <v>5498.0442734878598</v>
      </c>
      <c r="BA6" s="47">
        <f>BA3*Assumptions!$F$7/1000000</f>
        <v>5578.5109798463964</v>
      </c>
      <c r="BB6" s="47">
        <f>BB3*Assumptions!$F$7/1000000</f>
        <v>5660.1553578478133</v>
      </c>
      <c r="BC6" s="47">
        <f>BC3*Assumptions!$F$7/1000000</f>
        <v>5742.9946433224477</v>
      </c>
      <c r="BD6" s="47">
        <f>BD3*Assumptions!$F$7/1000000</f>
        <v>5827.046324355877</v>
      </c>
      <c r="BE6" s="47">
        <f>BE3*Assumptions!$F$7/1000000</f>
        <v>5912.3281449808092</v>
      </c>
      <c r="BF6" s="47">
        <f>BF3*Assumptions!$F$7/1000000</f>
        <v>5998.858108923002</v>
      </c>
      <c r="BG6" s="47">
        <f>BG3*Assumptions!$F$7/1000000</f>
        <v>6086.6544834019969</v>
      </c>
      <c r="BH6" s="47">
        <f>BH3*Assumptions!$F$7/1000000</f>
        <v>6175.7358029874913</v>
      </c>
      <c r="BI6" s="47">
        <f>BI3*Assumptions!$F$7/1000000</f>
        <v>6266.1208735121509</v>
      </c>
      <c r="BJ6" s="47">
        <f>BJ3*Assumptions!$F$7/1000000</f>
        <v>6357.8287760416661</v>
      </c>
    </row>
    <row r="7" spans="1:62" ht="39.950000000000003" customHeight="1">
      <c r="A7" s="48" t="s">
        <v>67</v>
      </c>
      <c r="B7" s="103"/>
      <c r="C7" s="49">
        <f>(C6-B6)/B6</f>
        <v>8.3026453515750512E-2</v>
      </c>
      <c r="D7" s="50">
        <f t="shared" ref="D7:BJ7" si="5">(D6-C6)/C6</f>
        <v>8.3026453515750498E-2</v>
      </c>
      <c r="E7" s="50">
        <f t="shared" si="5"/>
        <v>8.3026453515750526E-2</v>
      </c>
      <c r="F7" s="50">
        <f t="shared" si="5"/>
        <v>8.3026453515750512E-2</v>
      </c>
      <c r="G7" s="50">
        <f t="shared" si="5"/>
        <v>8.3026453515750484E-2</v>
      </c>
      <c r="H7" s="50">
        <f t="shared" si="5"/>
        <v>8.302645351575054E-2</v>
      </c>
      <c r="I7" s="50">
        <f t="shared" si="5"/>
        <v>8.3026453515750609E-2</v>
      </c>
      <c r="J7" s="50">
        <f t="shared" si="5"/>
        <v>8.3026453515750595E-2</v>
      </c>
      <c r="K7" s="50">
        <f t="shared" si="5"/>
        <v>8.3026453515750623E-2</v>
      </c>
      <c r="L7" s="50">
        <f t="shared" si="5"/>
        <v>8.3026453515750692E-2</v>
      </c>
      <c r="M7" s="50">
        <f t="shared" si="5"/>
        <v>8.3026453515750456E-2</v>
      </c>
      <c r="N7" s="50">
        <f t="shared" si="5"/>
        <v>8.3026453515750845E-2</v>
      </c>
      <c r="O7" s="49">
        <f>(O6-N6)/N6</f>
        <v>0.45912224155693304</v>
      </c>
      <c r="P7" s="51">
        <f t="shared" si="5"/>
        <v>0.16729779324554658</v>
      </c>
      <c r="Q7" s="51">
        <f t="shared" si="5"/>
        <v>0.16729779324554642</v>
      </c>
      <c r="R7" s="51">
        <f t="shared" si="5"/>
        <v>0.16729779324554628</v>
      </c>
      <c r="S7" s="51">
        <f t="shared" si="5"/>
        <v>0.16729779324554633</v>
      </c>
      <c r="T7" s="51">
        <f t="shared" si="5"/>
        <v>0.16729779324554642</v>
      </c>
      <c r="U7" s="51">
        <f t="shared" si="5"/>
        <v>0.16729779324554639</v>
      </c>
      <c r="V7" s="51">
        <f t="shared" si="5"/>
        <v>0.16729779324554644</v>
      </c>
      <c r="W7" s="51">
        <f t="shared" si="5"/>
        <v>0.16729779324554622</v>
      </c>
      <c r="X7" s="51">
        <f t="shared" si="5"/>
        <v>0.16729779324554642</v>
      </c>
      <c r="Y7" s="51">
        <f t="shared" si="5"/>
        <v>0.16729779324554639</v>
      </c>
      <c r="Z7" s="51">
        <f t="shared" si="5"/>
        <v>0.16729779324554717</v>
      </c>
      <c r="AA7" s="49">
        <f>(AA6-Z6)/Z6</f>
        <v>0.37450876882034823</v>
      </c>
      <c r="AB7" s="50">
        <f>(AB6-AA6)/AA6</f>
        <v>9.9607015056278475E-2</v>
      </c>
      <c r="AC7" s="50">
        <f t="shared" si="5"/>
        <v>9.9607015056278336E-2</v>
      </c>
      <c r="AD7" s="50">
        <f t="shared" si="5"/>
        <v>9.9607015056278489E-2</v>
      </c>
      <c r="AE7" s="50">
        <f t="shared" si="5"/>
        <v>9.9607015056278489E-2</v>
      </c>
      <c r="AF7" s="50">
        <f t="shared" si="5"/>
        <v>9.9607015056278433E-2</v>
      </c>
      <c r="AG7" s="50">
        <f t="shared" si="5"/>
        <v>9.960701505627842E-2</v>
      </c>
      <c r="AH7" s="50">
        <f t="shared" si="5"/>
        <v>9.9607015056278614E-2</v>
      </c>
      <c r="AI7" s="50">
        <f t="shared" si="5"/>
        <v>9.9607015056278461E-2</v>
      </c>
      <c r="AJ7" s="50">
        <f t="shared" si="5"/>
        <v>9.9607015056278309E-2</v>
      </c>
      <c r="AK7" s="50">
        <f t="shared" si="5"/>
        <v>9.960701505627842E-2</v>
      </c>
      <c r="AL7" s="52">
        <f t="shared" si="5"/>
        <v>9.9607015056278767E-2</v>
      </c>
      <c r="AM7" s="49">
        <f t="shared" si="5"/>
        <v>0.30522621089163859</v>
      </c>
      <c r="AN7" s="50">
        <f t="shared" si="5"/>
        <v>4.4180968713311008E-2</v>
      </c>
      <c r="AO7" s="50">
        <f t="shared" si="5"/>
        <v>4.4180968713311092E-2</v>
      </c>
      <c r="AP7" s="50">
        <f t="shared" si="5"/>
        <v>4.4180968713310995E-2</v>
      </c>
      <c r="AQ7" s="50">
        <f t="shared" si="5"/>
        <v>4.4180968713310911E-2</v>
      </c>
      <c r="AR7" s="50">
        <f t="shared" si="5"/>
        <v>4.4180968713311008E-2</v>
      </c>
      <c r="AS7" s="50">
        <f t="shared" si="5"/>
        <v>4.4180968713311147E-2</v>
      </c>
      <c r="AT7" s="50">
        <f t="shared" si="5"/>
        <v>4.4180968713311008E-2</v>
      </c>
      <c r="AU7" s="50">
        <f t="shared" si="5"/>
        <v>4.4180968713311008E-2</v>
      </c>
      <c r="AV7" s="50">
        <f t="shared" si="5"/>
        <v>4.4180968713310918E-2</v>
      </c>
      <c r="AW7" s="50">
        <f t="shared" si="5"/>
        <v>4.4180968713311175E-2</v>
      </c>
      <c r="AX7" s="52">
        <f t="shared" si="5"/>
        <v>4.4180968713310537E-2</v>
      </c>
      <c r="AY7" s="53">
        <f t="shared" si="5"/>
        <v>0.26829439305048775</v>
      </c>
      <c r="AZ7" s="50">
        <f t="shared" si="5"/>
        <v>1.4635514440390279E-2</v>
      </c>
      <c r="BA7" s="50">
        <f t="shared" si="5"/>
        <v>1.4635514440390272E-2</v>
      </c>
      <c r="BB7" s="50">
        <f t="shared" si="5"/>
        <v>1.4635514440390152E-2</v>
      </c>
      <c r="BC7" s="50">
        <f t="shared" si="5"/>
        <v>1.4635514440390332E-2</v>
      </c>
      <c r="BD7" s="50">
        <f t="shared" si="5"/>
        <v>1.4635514440390209E-2</v>
      </c>
      <c r="BE7" s="50">
        <f t="shared" si="5"/>
        <v>1.4635514440390041E-2</v>
      </c>
      <c r="BF7" s="50">
        <f t="shared" si="5"/>
        <v>1.4635514440390331E-2</v>
      </c>
      <c r="BG7" s="50">
        <f t="shared" si="5"/>
        <v>1.4635514440390284E-2</v>
      </c>
      <c r="BH7" s="50">
        <f t="shared" si="5"/>
        <v>1.4635514440389987E-2</v>
      </c>
      <c r="BI7" s="50">
        <f t="shared" si="5"/>
        <v>1.4635514440390423E-2</v>
      </c>
      <c r="BJ7" s="52">
        <f t="shared" si="5"/>
        <v>1.4635514440389826E-2</v>
      </c>
    </row>
    <row r="8" spans="1:62" ht="2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 ht="2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</row>
    <row r="10" spans="1:62" ht="2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1" spans="1:62" ht="2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 ht="2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 ht="21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</row>
    <row r="14" spans="1:62" ht="2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</row>
    <row r="15" spans="1:62" ht="2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 ht="2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2:62" ht="2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</row>
  </sheetData>
  <mergeCells count="15">
    <mergeCell ref="C4:N4"/>
    <mergeCell ref="O4:Z4"/>
    <mergeCell ref="AA4:AL4"/>
    <mergeCell ref="AM4:AX4"/>
    <mergeCell ref="AY4:BJ4"/>
    <mergeCell ref="C1:N1"/>
    <mergeCell ref="O1:Z1"/>
    <mergeCell ref="AA1:AL1"/>
    <mergeCell ref="AM1:AX1"/>
    <mergeCell ref="AY1:BJ1"/>
    <mergeCell ref="C5:N5"/>
    <mergeCell ref="O5:Z5"/>
    <mergeCell ref="AA5:AL5"/>
    <mergeCell ref="AM5:AX5"/>
    <mergeCell ref="AY5:BJ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BB39-93E3-4D59-A7C9-42C643E4F633}">
  <sheetPr codeName="Sheet5"/>
  <dimension ref="A1:BJ153"/>
  <sheetViews>
    <sheetView zoomScale="90" zoomScaleNormal="90" workbookViewId="0">
      <pane xSplit="1" ySplit="2" topLeftCell="B18" activePane="bottomRight" state="frozen"/>
      <selection pane="topRight" activeCell="B1" sqref="B1"/>
      <selection pane="bottomLeft" activeCell="A2" sqref="A2"/>
      <selection pane="bottomRight" activeCell="N26" sqref="N26"/>
    </sheetView>
  </sheetViews>
  <sheetFormatPr defaultColWidth="8.85546875" defaultRowHeight="18" customHeight="1"/>
  <cols>
    <col min="1" max="1" width="16.5703125" style="3" bestFit="1" customWidth="1"/>
    <col min="2" max="2" width="15.85546875" style="3" bestFit="1" customWidth="1"/>
    <col min="3" max="4" width="13" style="3" bestFit="1" customWidth="1"/>
    <col min="5" max="26" width="14.7109375" style="3" bestFit="1" customWidth="1"/>
    <col min="27" max="36" width="15.85546875" style="3" bestFit="1" customWidth="1"/>
    <col min="37" max="53" width="14.7109375" style="3" bestFit="1" customWidth="1"/>
    <col min="54" max="61" width="15.140625" style="3" bestFit="1" customWidth="1"/>
    <col min="62" max="16384" width="8.85546875" style="3"/>
  </cols>
  <sheetData>
    <row r="1" spans="1:62" ht="35.1" customHeight="1">
      <c r="A1" s="57" t="s">
        <v>69</v>
      </c>
      <c r="B1" s="167" t="s">
        <v>10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9"/>
      <c r="N1" s="167" t="s">
        <v>11</v>
      </c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9"/>
      <c r="Z1" s="167" t="s">
        <v>12</v>
      </c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9"/>
      <c r="AL1" s="167" t="s">
        <v>13</v>
      </c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9"/>
      <c r="AX1" s="167" t="s">
        <v>14</v>
      </c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9"/>
    </row>
    <row r="2" spans="1:62" s="93" customFormat="1" ht="33" customHeight="1">
      <c r="A2" s="89" t="s">
        <v>19</v>
      </c>
      <c r="B2" s="90">
        <v>1</v>
      </c>
      <c r="C2" s="91">
        <v>2</v>
      </c>
      <c r="D2" s="91">
        <v>3</v>
      </c>
      <c r="E2" s="91">
        <v>4</v>
      </c>
      <c r="F2" s="91">
        <v>5</v>
      </c>
      <c r="G2" s="91">
        <v>6</v>
      </c>
      <c r="H2" s="91">
        <v>7</v>
      </c>
      <c r="I2" s="91">
        <v>8</v>
      </c>
      <c r="J2" s="91">
        <v>9</v>
      </c>
      <c r="K2" s="91">
        <v>10</v>
      </c>
      <c r="L2" s="91">
        <v>11</v>
      </c>
      <c r="M2" s="92">
        <v>12</v>
      </c>
      <c r="N2" s="90">
        <v>13</v>
      </c>
      <c r="O2" s="91">
        <v>14</v>
      </c>
      <c r="P2" s="91">
        <v>15</v>
      </c>
      <c r="Q2" s="91">
        <v>16</v>
      </c>
      <c r="R2" s="91">
        <v>17</v>
      </c>
      <c r="S2" s="91">
        <v>18</v>
      </c>
      <c r="T2" s="91">
        <v>19</v>
      </c>
      <c r="U2" s="91">
        <v>20</v>
      </c>
      <c r="V2" s="91">
        <v>21</v>
      </c>
      <c r="W2" s="91">
        <v>22</v>
      </c>
      <c r="X2" s="91">
        <v>23</v>
      </c>
      <c r="Y2" s="92">
        <v>24</v>
      </c>
      <c r="Z2" s="90">
        <v>25</v>
      </c>
      <c r="AA2" s="91">
        <v>26</v>
      </c>
      <c r="AB2" s="91">
        <v>27</v>
      </c>
      <c r="AC2" s="91">
        <v>28</v>
      </c>
      <c r="AD2" s="91">
        <v>29</v>
      </c>
      <c r="AE2" s="91">
        <v>30</v>
      </c>
      <c r="AF2" s="91">
        <v>31</v>
      </c>
      <c r="AG2" s="91">
        <v>32</v>
      </c>
      <c r="AH2" s="91">
        <v>33</v>
      </c>
      <c r="AI2" s="91">
        <v>34</v>
      </c>
      <c r="AJ2" s="91">
        <v>35</v>
      </c>
      <c r="AK2" s="92">
        <v>36</v>
      </c>
      <c r="AL2" s="90">
        <v>37</v>
      </c>
      <c r="AM2" s="91">
        <v>38</v>
      </c>
      <c r="AN2" s="91">
        <v>39</v>
      </c>
      <c r="AO2" s="91">
        <v>40</v>
      </c>
      <c r="AP2" s="91">
        <v>41</v>
      </c>
      <c r="AQ2" s="91">
        <v>42</v>
      </c>
      <c r="AR2" s="91">
        <v>43</v>
      </c>
      <c r="AS2" s="91">
        <v>44</v>
      </c>
      <c r="AT2" s="91">
        <v>45</v>
      </c>
      <c r="AU2" s="91">
        <v>46</v>
      </c>
      <c r="AV2" s="91">
        <v>47</v>
      </c>
      <c r="AW2" s="92">
        <v>48</v>
      </c>
      <c r="AX2" s="90">
        <v>49</v>
      </c>
      <c r="AY2" s="91">
        <v>50</v>
      </c>
      <c r="AZ2" s="91">
        <v>51</v>
      </c>
      <c r="BA2" s="91">
        <v>52</v>
      </c>
      <c r="BB2" s="91">
        <v>53</v>
      </c>
      <c r="BC2" s="91">
        <v>54</v>
      </c>
      <c r="BD2" s="91">
        <v>55</v>
      </c>
      <c r="BE2" s="91">
        <v>56</v>
      </c>
      <c r="BF2" s="91">
        <v>57</v>
      </c>
      <c r="BG2" s="91">
        <v>58</v>
      </c>
      <c r="BH2" s="91">
        <v>59</v>
      </c>
      <c r="BI2" s="92">
        <v>60</v>
      </c>
    </row>
    <row r="3" spans="1:62" ht="18" customHeight="1">
      <c r="A3" s="56" t="s">
        <v>29</v>
      </c>
      <c r="B3" s="77">
        <f>'KPI Growth'!C3</f>
        <v>108.30264535157505</v>
      </c>
      <c r="C3" s="25">
        <f>'KPI Growth'!D3</f>
        <v>117.29462990149041</v>
      </c>
      <c r="D3" s="25">
        <f>'KPI Growth'!E3</f>
        <v>127.03318703865367</v>
      </c>
      <c r="E3" s="25">
        <f>'KPI Growth'!F3</f>
        <v>137.58030203727608</v>
      </c>
      <c r="F3" s="25">
        <f>'KPI Growth'!G3</f>
        <v>149.0031065890569</v>
      </c>
      <c r="G3" s="25">
        <f>'KPI Growth'!H3</f>
        <v>161.37430609197565</v>
      </c>
      <c r="H3" s="25">
        <f>'KPI Growth'!I3</f>
        <v>174.77264241535758</v>
      </c>
      <c r="I3" s="25">
        <f>'KPI Growth'!J3</f>
        <v>189.28339508668117</v>
      </c>
      <c r="J3" s="25">
        <f>'KPI Growth'!K3</f>
        <v>204.99892409014896</v>
      </c>
      <c r="K3" s="25">
        <f>'KPI Growth'!L3</f>
        <v>222.01925773189859</v>
      </c>
      <c r="L3" s="25">
        <f>'KPI Growth'!M3</f>
        <v>240.45272931357752</v>
      </c>
      <c r="M3" s="78">
        <f>'KPI Growth'!N3</f>
        <v>260.41666666666669</v>
      </c>
      <c r="N3" s="77">
        <f>'KPI Growth'!O3</f>
        <v>303.98380032436108</v>
      </c>
      <c r="O3" s="25">
        <f>'KPI Growth'!P3</f>
        <v>354.83961930102151</v>
      </c>
      <c r="P3" s="25">
        <f>'KPI Growth'!Q3</f>
        <v>414.20350456617223</v>
      </c>
      <c r="Q3" s="25">
        <f>'KPI Growth'!R3</f>
        <v>483.49883683466442</v>
      </c>
      <c r="R3" s="25">
        <f>'KPI Growth'!S3</f>
        <v>564.38712527389225</v>
      </c>
      <c r="S3" s="25">
        <f>'KPI Growth'!T3</f>
        <v>658.80784586841219</v>
      </c>
      <c r="T3" s="25">
        <f>'KPI Growth'!U3</f>
        <v>769.02494465504958</v>
      </c>
      <c r="U3" s="25">
        <f>'KPI Growth'!V3</f>
        <v>897.68112084661789</v>
      </c>
      <c r="V3" s="25">
        <f>'KPI Growth'!W3</f>
        <v>1047.8611914024457</v>
      </c>
      <c r="W3" s="25">
        <f>'KPI Growth'!X3</f>
        <v>1223.1660563517239</v>
      </c>
      <c r="X3" s="25">
        <f>'KPI Growth'!Y3</f>
        <v>1427.7990383522249</v>
      </c>
      <c r="Y3" s="78">
        <f>'KPI Growth'!Z3</f>
        <v>1666.6666666666665</v>
      </c>
      <c r="Z3" s="77">
        <f>'KPI Growth'!AA3</f>
        <v>1832.6783584271307</v>
      </c>
      <c r="AA3" s="25">
        <f>'KPI Growth'!AB3</f>
        <v>2015.2259792682976</v>
      </c>
      <c r="AB3" s="25">
        <f>'KPI Growth'!AC3</f>
        <v>2215.9566237270783</v>
      </c>
      <c r="AC3" s="25">
        <f>'KPI Growth'!AD3</f>
        <v>2436.6814485107216</v>
      </c>
      <c r="AD3" s="25">
        <f>'KPI Growth'!AE3</f>
        <v>2679.3920142398833</v>
      </c>
      <c r="AE3" s="25">
        <f>'KPI Growth'!AF3</f>
        <v>2946.2782549439476</v>
      </c>
      <c r="AF3" s="25">
        <f>'KPI Growth'!AG3</f>
        <v>3239.7482374441352</v>
      </c>
      <c r="AG3" s="25">
        <f>'KPI Growth'!AH3</f>
        <v>3562.4498889097849</v>
      </c>
      <c r="AH3" s="25">
        <f>'KPI Growth'!AI3</f>
        <v>3917.2948886316594</v>
      </c>
      <c r="AI3" s="25">
        <f>'KPI Growth'!AJ3</f>
        <v>4307.4849395834754</v>
      </c>
      <c r="AJ3" s="25">
        <f>'KPI Growth'!AK3</f>
        <v>4736.5406568152594</v>
      </c>
      <c r="AK3" s="78">
        <f>'KPI Growth'!AL3</f>
        <v>5208.333333333333</v>
      </c>
      <c r="AL3" s="77">
        <f>'KPI Growth'!AM3</f>
        <v>5438.4425453818276</v>
      </c>
      <c r="AM3" s="25">
        <f>'KPI Growth'!AN3</f>
        <v>5678.7182053284814</v>
      </c>
      <c r="AN3" s="25">
        <f>'KPI Growth'!AO3</f>
        <v>5929.6094766898086</v>
      </c>
      <c r="AO3" s="25">
        <f>'KPI Growth'!AP3</f>
        <v>6191.5853674615937</v>
      </c>
      <c r="AP3" s="25">
        <f>'KPI Growth'!AQ3</f>
        <v>6465.1356068672085</v>
      </c>
      <c r="AQ3" s="25">
        <f>'KPI Growth'!AR3</f>
        <v>6750.7715608415219</v>
      </c>
      <c r="AR3" s="25">
        <f>'KPI Growth'!AS3</f>
        <v>7049.0271879617712</v>
      </c>
      <c r="AS3" s="25">
        <f>'KPI Growth'!AT3</f>
        <v>7360.460037612389</v>
      </c>
      <c r="AT3" s="25">
        <f>'KPI Growth'!AU3</f>
        <v>7685.6522922497179</v>
      </c>
      <c r="AU3" s="25">
        <f>'KPI Growth'!AV3</f>
        <v>8025.2118557149897</v>
      </c>
      <c r="AV3" s="25">
        <f>'KPI Growth'!AW3</f>
        <v>8379.7734896300262</v>
      </c>
      <c r="AW3" s="78">
        <f>'KPI Growth'!AX3</f>
        <v>8750</v>
      </c>
      <c r="AX3" s="77">
        <f>'KPI Growth'!AY3</f>
        <v>8878.0607513534142</v>
      </c>
      <c r="AY3" s="25">
        <f>'KPI Growth'!AZ3</f>
        <v>9007.9957376825096</v>
      </c>
      <c r="AZ3" s="25">
        <f>'KPI Growth'!BA3</f>
        <v>9139.8323893803354</v>
      </c>
      <c r="BA3" s="25">
        <f>'KPI Growth'!BB3</f>
        <v>9273.5985382978579</v>
      </c>
      <c r="BB3" s="25">
        <f>'KPI Growth'!BC3</f>
        <v>9409.3224236194983</v>
      </c>
      <c r="BC3" s="25">
        <f>'KPI Growth'!BD3</f>
        <v>9547.0326978246685</v>
      </c>
      <c r="BD3" s="25">
        <f>'KPI Growth'!BE3</f>
        <v>9686.7584327365585</v>
      </c>
      <c r="BE3" s="25">
        <f>'KPI Growth'!BF3</f>
        <v>9828.5291256594464</v>
      </c>
      <c r="BF3" s="25">
        <f>'KPI Growth'!BG3</f>
        <v>9972.374705605831</v>
      </c>
      <c r="BG3" s="25">
        <f>'KPI Growth'!BH3</f>
        <v>10118.325539614707</v>
      </c>
      <c r="BH3" s="25">
        <f>'KPI Growth'!BI3</f>
        <v>10266.412439162308</v>
      </c>
      <c r="BI3" s="78">
        <f>'KPI Growth'!BJ3</f>
        <v>10416.666666666666</v>
      </c>
    </row>
    <row r="4" spans="1:62" ht="18" customHeight="1">
      <c r="A4" s="56" t="s">
        <v>68</v>
      </c>
      <c r="B4" s="77">
        <f>B3*Assumptions!$B$7</f>
        <v>27075661.337893762</v>
      </c>
      <c r="C4" s="25">
        <f>C3*Assumptions!$B$7</f>
        <v>29323657.475372601</v>
      </c>
      <c r="D4" s="25">
        <f>D3*Assumptions!$B$7</f>
        <v>31758296.759663418</v>
      </c>
      <c r="E4" s="25">
        <f>E3*Assumptions!$B$7</f>
        <v>34395075.509319022</v>
      </c>
      <c r="F4" s="25">
        <f>F3*Assumptions!$B$7</f>
        <v>37250776.647264227</v>
      </c>
      <c r="G4" s="25">
        <f>G3*Assumptions!$B$7</f>
        <v>40343576.522993915</v>
      </c>
      <c r="H4" s="25">
        <f>H3*Assumptions!$B$7</f>
        <v>43693160.603839397</v>
      </c>
      <c r="I4" s="25">
        <f>I3*Assumptions!$B$7</f>
        <v>47320848.771670289</v>
      </c>
      <c r="J4" s="25">
        <f>J3*Assumptions!$B$7</f>
        <v>51249731.022537239</v>
      </c>
      <c r="K4" s="25">
        <f>K3*Assumptions!$B$7</f>
        <v>55504814.432974651</v>
      </c>
      <c r="L4" s="25">
        <f>L3*Assumptions!$B$7</f>
        <v>60113182.328394383</v>
      </c>
      <c r="M4" s="78">
        <f>M3*Assumptions!$B$7</f>
        <v>65104166.666666672</v>
      </c>
      <c r="N4" s="77">
        <f>N3*Assumptions!$B$7*(1+Assumptions!$B$2)</f>
        <v>94994937.601362839</v>
      </c>
      <c r="O4" s="25">
        <f>O3*Assumptions!$B$7*(1+Assumptions!$B$2)</f>
        <v>110887381.03156923</v>
      </c>
      <c r="P4" s="25">
        <f>P3*Assumptions!$B$7*(1+Assumptions!$B$2)</f>
        <v>129438595.17692882</v>
      </c>
      <c r="Q4" s="25">
        <f>Q3*Assumptions!$B$7*(1+Assumptions!$B$2)</f>
        <v>151093386.51083264</v>
      </c>
      <c r="R4" s="25">
        <f>R3*Assumptions!$B$7*(1+Assumptions!$B$2)</f>
        <v>176370976.64809135</v>
      </c>
      <c r="S4" s="25">
        <f>S3*Assumptions!$B$7*(1+Assumptions!$B$2)</f>
        <v>205877451.83387879</v>
      </c>
      <c r="T4" s="25">
        <f>T3*Assumptions!$B$7*(1+Assumptions!$B$2)</f>
        <v>240320295.20470297</v>
      </c>
      <c r="U4" s="25">
        <f>U3*Assumptions!$B$7*(1+Assumptions!$B$2)</f>
        <v>280525350.26456809</v>
      </c>
      <c r="V4" s="25">
        <f>V3*Assumptions!$B$7*(1+Assumptions!$B$2)</f>
        <v>327456622.31326425</v>
      </c>
      <c r="W4" s="25">
        <f>W3*Assumptions!$B$7*(1+Assumptions!$B$2)</f>
        <v>382239392.60991371</v>
      </c>
      <c r="X4" s="25">
        <f>X3*Assumptions!$B$7*(1+Assumptions!$B$2)</f>
        <v>446187199.48507023</v>
      </c>
      <c r="Y4" s="78">
        <f>Y3*Assumptions!$B$7*(1+Assumptions!$B$2)</f>
        <v>520833333.33333325</v>
      </c>
      <c r="Z4" s="77">
        <f>Z3*Assumptions!$B$7*(1+Assumptions!$B$2)^2</f>
        <v>715889983.76059794</v>
      </c>
      <c r="AA4" s="25">
        <f>AA3*Assumptions!$B$7*(1+Assumptions!$B$2)^2</f>
        <v>787197648.1516788</v>
      </c>
      <c r="AB4" s="25">
        <f>AB3*Assumptions!$B$7*(1+Assumptions!$B$2)^2</f>
        <v>865608056.14339006</v>
      </c>
      <c r="AC4" s="25">
        <f>AC3*Assumptions!$B$7*(1+Assumptions!$B$2)^2</f>
        <v>951828690.82450068</v>
      </c>
      <c r="AD4" s="25">
        <f>AD3*Assumptions!$B$7*(1+Assumptions!$B$2)^2</f>
        <v>1046637505.5624545</v>
      </c>
      <c r="AE4" s="25">
        <f>AE3*Assumptions!$B$7*(1+Assumptions!$B$2)^2</f>
        <v>1150889943.3374796</v>
      </c>
      <c r="AF4" s="25">
        <f>AF3*Assumptions!$B$7*(1+Assumptions!$B$2)^2</f>
        <v>1265526655.2516153</v>
      </c>
      <c r="AG4" s="25">
        <f>AG3*Assumptions!$B$7*(1+Assumptions!$B$2)^2</f>
        <v>1391581987.8553846</v>
      </c>
      <c r="AH4" s="25">
        <f>AH3*Assumptions!$B$7*(1+Assumptions!$B$2)^2</f>
        <v>1530193315.871742</v>
      </c>
      <c r="AI4" s="25">
        <f>AI3*Assumptions!$B$7*(1+Assumptions!$B$2)^2</f>
        <v>1682611304.5247951</v>
      </c>
      <c r="AJ4" s="25">
        <f>AJ3*Assumptions!$B$7*(1+Assumptions!$B$2)^2</f>
        <v>1850211194.0684605</v>
      </c>
      <c r="AK4" s="78">
        <f>AK3*Assumptions!$B$7*(1+Assumptions!$B$2)^2</f>
        <v>2034505208.3333333</v>
      </c>
      <c r="AL4" s="77">
        <f>AL3*Assumptions!$B$7*(1+Assumptions!$B$2)^3</f>
        <v>2655489524.1122203</v>
      </c>
      <c r="AM4" s="25">
        <f>AM3*Assumptions!$B$7*(1+Assumptions!$B$2)^3</f>
        <v>2772811623.6955476</v>
      </c>
      <c r="AN4" s="25">
        <f>AN3*Assumptions!$B$7*(1+Assumptions!$B$2)^3</f>
        <v>2895317127.2899456</v>
      </c>
      <c r="AO4" s="25">
        <f>AO3*Assumptions!$B$7*(1+Assumptions!$B$2)^3</f>
        <v>3023235042.7058563</v>
      </c>
      <c r="AP4" s="25">
        <f>AP3*Assumptions!$B$7*(1+Assumptions!$B$2)^3</f>
        <v>3156804495.5406289</v>
      </c>
      <c r="AQ4" s="25">
        <f>AQ3*Assumptions!$B$7*(1+Assumptions!$B$2)^3</f>
        <v>3296275176.1921496</v>
      </c>
      <c r="AR4" s="25">
        <f>AR3*Assumptions!$B$7*(1+Assumptions!$B$2)^3</f>
        <v>3441907806.6219587</v>
      </c>
      <c r="AS4" s="25">
        <f>AS3*Assumptions!$B$7*(1+Assumptions!$B$2)^3</f>
        <v>3593974627.7404242</v>
      </c>
      <c r="AT4" s="25">
        <f>AT3*Assumptions!$B$7*(1+Assumptions!$B$2)^3</f>
        <v>3752759908.3250575</v>
      </c>
      <c r="AU4" s="25">
        <f>AU3*Assumptions!$B$7*(1+Assumptions!$B$2)^3</f>
        <v>3918560476.4233346</v>
      </c>
      <c r="AV4" s="25">
        <f>AV3*Assumptions!$B$7*(1+Assumptions!$B$2)^3</f>
        <v>4091686274.2334108</v>
      </c>
      <c r="AW4" s="78">
        <f>AW3*Assumptions!$B$7*(1+Assumptions!$B$2)^3</f>
        <v>4272460937.5</v>
      </c>
      <c r="AX4" s="77">
        <f>AX3*Assumptions!$B$7*(1+Assumptions!$B$2)^4</f>
        <v>5418738251.5584803</v>
      </c>
      <c r="AY4" s="25">
        <f>AY3*Assumptions!$B$7*(1+Assumptions!$B$2)^4</f>
        <v>5498044273.4878607</v>
      </c>
      <c r="AZ4" s="25">
        <f>AZ3*Assumptions!$B$7*(1+Assumptions!$B$2)^4</f>
        <v>5578510979.8463955</v>
      </c>
      <c r="BA4" s="25">
        <f>BA3*Assumptions!$B$7*(1+Assumptions!$B$2)^4</f>
        <v>5660155357.8478136</v>
      </c>
      <c r="BB4" s="25">
        <f>BB3*Assumptions!$B$7*(1+Assumptions!$B$2)^4</f>
        <v>5742994643.3224478</v>
      </c>
      <c r="BC4" s="25">
        <f>BC3*Assumptions!$B$7*(1+Assumptions!$B$2)^4</f>
        <v>5827046324.3558769</v>
      </c>
      <c r="BD4" s="25">
        <f>BD3*Assumptions!$B$7*(1+Assumptions!$B$2)^4</f>
        <v>5912328144.9808102</v>
      </c>
      <c r="BE4" s="25">
        <f>BE3*Assumptions!$B$7*(1+Assumptions!$B$2)^4</f>
        <v>5998858108.9230022</v>
      </c>
      <c r="BF4" s="25">
        <f>BF3*Assumptions!$B$7*(1+Assumptions!$B$2)^4</f>
        <v>6086654483.4019966</v>
      </c>
      <c r="BG4" s="25">
        <f>BG3*Assumptions!$B$7*(1+Assumptions!$B$2)^4</f>
        <v>6175735802.9874916</v>
      </c>
      <c r="BH4" s="25">
        <f>BH3*Assumptions!$B$7*(1+Assumptions!$B$2)^4</f>
        <v>6266120873.5121508</v>
      </c>
      <c r="BI4" s="78">
        <f>BI3*Assumptions!$B$7*(1+Assumptions!$B$2)^4</f>
        <v>6357828776.041666</v>
      </c>
    </row>
    <row r="5" spans="1:62" ht="18" customHeight="1">
      <c r="A5" s="56" t="s">
        <v>27</v>
      </c>
      <c r="B5" s="79">
        <f>-Assumptions!$B$10*'P&amp;L'!B4</f>
        <v>-2707566.1337893764</v>
      </c>
      <c r="C5" s="80">
        <f>-Assumptions!$B$10*'P&amp;L'!C4</f>
        <v>-2932365.7475372604</v>
      </c>
      <c r="D5" s="80">
        <f>-Assumptions!$B$10*'P&amp;L'!D4</f>
        <v>-3175829.675966342</v>
      </c>
      <c r="E5" s="80">
        <f>-Assumptions!$B$10*'P&amp;L'!E4</f>
        <v>-3439507.5509319026</v>
      </c>
      <c r="F5" s="80">
        <f>-Assumptions!$B$10*'P&amp;L'!F4</f>
        <v>-3725077.6647264231</v>
      </c>
      <c r="G5" s="80">
        <f>-Assumptions!$B$10*'P&amp;L'!G4</f>
        <v>-4034357.6522993916</v>
      </c>
      <c r="H5" s="80">
        <f>-Assumptions!$B$10*'P&amp;L'!H4</f>
        <v>-4369316.0603839401</v>
      </c>
      <c r="I5" s="80">
        <f>-Assumptions!$B$10*'P&amp;L'!I4</f>
        <v>-4732084.8771670293</v>
      </c>
      <c r="J5" s="80">
        <f>-Assumptions!$B$10*'P&amp;L'!J4</f>
        <v>-5124973.1022537239</v>
      </c>
      <c r="K5" s="80">
        <f>-Assumptions!$B$10*'P&amp;L'!K4</f>
        <v>-5550481.4432974653</v>
      </c>
      <c r="L5" s="80">
        <f>-Assumptions!$B$10*'P&amp;L'!L4</f>
        <v>-6011318.2328394391</v>
      </c>
      <c r="M5" s="81">
        <f>-Assumptions!$B$10*'P&amp;L'!M4</f>
        <v>-6510416.6666666679</v>
      </c>
      <c r="N5" s="79">
        <f>-Assumptions!$B$10*'P&amp;L'!N4</f>
        <v>-9499493.7601362839</v>
      </c>
      <c r="O5" s="80">
        <f>-Assumptions!$B$10*'P&amp;L'!O4</f>
        <v>-11088738.103156924</v>
      </c>
      <c r="P5" s="80">
        <f>-Assumptions!$B$10*'P&amp;L'!P4</f>
        <v>-12943859.517692883</v>
      </c>
      <c r="Q5" s="80">
        <f>-Assumptions!$B$10*'P&amp;L'!Q4</f>
        <v>-15109338.651083264</v>
      </c>
      <c r="R5" s="80">
        <f>-Assumptions!$B$10*'P&amp;L'!R4</f>
        <v>-17637097.664809134</v>
      </c>
      <c r="S5" s="80">
        <f>-Assumptions!$B$10*'P&amp;L'!S4</f>
        <v>-20587745.183387879</v>
      </c>
      <c r="T5" s="80">
        <f>-Assumptions!$B$10*'P&amp;L'!T4</f>
        <v>-24032029.520470299</v>
      </c>
      <c r="U5" s="80">
        <f>-Assumptions!$B$10*'P&amp;L'!U4</f>
        <v>-28052535.026456811</v>
      </c>
      <c r="V5" s="80">
        <f>-Assumptions!$B$10*'P&amp;L'!V4</f>
        <v>-32745662.231326427</v>
      </c>
      <c r="W5" s="80">
        <f>-Assumptions!$B$10*'P&amp;L'!W4</f>
        <v>-38223939.260991372</v>
      </c>
      <c r="X5" s="80">
        <f>-Assumptions!$B$10*'P&amp;L'!X4</f>
        <v>-44618719.948507026</v>
      </c>
      <c r="Y5" s="81">
        <f>-Assumptions!$B$10*'P&amp;L'!Y4</f>
        <v>-52083333.333333328</v>
      </c>
      <c r="Z5" s="79">
        <f>-Assumptions!$B$10*'P&amp;L'!Z4</f>
        <v>-71588998.3760598</v>
      </c>
      <c r="AA5" s="80">
        <f>-Assumptions!$B$10*'P&amp;L'!AA4</f>
        <v>-78719764.815167889</v>
      </c>
      <c r="AB5" s="80">
        <f>-Assumptions!$B$10*'P&amp;L'!AB4</f>
        <v>-86560805.614339009</v>
      </c>
      <c r="AC5" s="80">
        <f>-Assumptions!$B$10*'P&amp;L'!AC4</f>
        <v>-95182869.082450077</v>
      </c>
      <c r="AD5" s="80">
        <f>-Assumptions!$B$10*'P&amp;L'!AD4</f>
        <v>-104663750.55624545</v>
      </c>
      <c r="AE5" s="80">
        <f>-Assumptions!$B$10*'P&amp;L'!AE4</f>
        <v>-115088994.33374797</v>
      </c>
      <c r="AF5" s="80">
        <f>-Assumptions!$B$10*'P&amp;L'!AF4</f>
        <v>-126552665.52516153</v>
      </c>
      <c r="AG5" s="80">
        <f>-Assumptions!$B$10*'P&amp;L'!AG4</f>
        <v>-139158198.78553846</v>
      </c>
      <c r="AH5" s="80">
        <f>-Assumptions!$B$10*'P&amp;L'!AH4</f>
        <v>-153019331.58717421</v>
      </c>
      <c r="AI5" s="80">
        <f>-Assumptions!$B$10*'P&amp;L'!AI4</f>
        <v>-168261130.45247951</v>
      </c>
      <c r="AJ5" s="80">
        <f>-Assumptions!$B$10*'P&amp;L'!AJ4</f>
        <v>-185021119.40684605</v>
      </c>
      <c r="AK5" s="81">
        <f>-Assumptions!$B$10*'P&amp;L'!AK4</f>
        <v>-203450520.83333334</v>
      </c>
      <c r="AL5" s="79">
        <f>-Assumptions!$B$10*'P&amp;L'!AL4</f>
        <v>-265548952.41122204</v>
      </c>
      <c r="AM5" s="80">
        <f>-Assumptions!$B$10*'P&amp;L'!AM4</f>
        <v>-277281162.36955476</v>
      </c>
      <c r="AN5" s="80">
        <f>-Assumptions!$B$10*'P&amp;L'!AN4</f>
        <v>-289531712.72899455</v>
      </c>
      <c r="AO5" s="80">
        <f>-Assumptions!$B$10*'P&amp;L'!AO4</f>
        <v>-302323504.27058566</v>
      </c>
      <c r="AP5" s="80">
        <f>-Assumptions!$B$10*'P&amp;L'!AP4</f>
        <v>-315680449.5540629</v>
      </c>
      <c r="AQ5" s="80">
        <f>-Assumptions!$B$10*'P&amp;L'!AQ4</f>
        <v>-329627517.61921501</v>
      </c>
      <c r="AR5" s="80">
        <f>-Assumptions!$B$10*'P&amp;L'!AR4</f>
        <v>-344190780.66219592</v>
      </c>
      <c r="AS5" s="80">
        <f>-Assumptions!$B$10*'P&amp;L'!AS4</f>
        <v>-359397462.77404243</v>
      </c>
      <c r="AT5" s="80">
        <f>-Assumptions!$B$10*'P&amp;L'!AT4</f>
        <v>-375275990.83250576</v>
      </c>
      <c r="AU5" s="80">
        <f>-Assumptions!$B$10*'P&amp;L'!AU4</f>
        <v>-391856047.64233351</v>
      </c>
      <c r="AV5" s="80">
        <f>-Assumptions!$B$10*'P&amp;L'!AV4</f>
        <v>-409168627.4233411</v>
      </c>
      <c r="AW5" s="81">
        <f>-Assumptions!$B$10*'P&amp;L'!AW4</f>
        <v>-427246093.75</v>
      </c>
      <c r="AX5" s="79">
        <f>-Assumptions!$B$10*'P&amp;L'!AX4</f>
        <v>-541873825.15584803</v>
      </c>
      <c r="AY5" s="80">
        <f>-Assumptions!$B$10*'P&amp;L'!AY4</f>
        <v>-549804427.34878612</v>
      </c>
      <c r="AZ5" s="80">
        <f>-Assumptions!$B$10*'P&amp;L'!AZ4</f>
        <v>-557851097.98463953</v>
      </c>
      <c r="BA5" s="80">
        <f>-Assumptions!$B$10*'P&amp;L'!BA4</f>
        <v>-566015535.78478134</v>
      </c>
      <c r="BB5" s="80">
        <f>-Assumptions!$B$10*'P&amp;L'!BB4</f>
        <v>-574299464.33224475</v>
      </c>
      <c r="BC5" s="80">
        <f>-Assumptions!$B$10*'P&amp;L'!BC4</f>
        <v>-582704632.43558776</v>
      </c>
      <c r="BD5" s="80">
        <f>-Assumptions!$B$10*'P&amp;L'!BD4</f>
        <v>-591232814.49808109</v>
      </c>
      <c r="BE5" s="80">
        <f>-Assumptions!$B$10*'P&amp;L'!BE4</f>
        <v>-599885810.89230025</v>
      </c>
      <c r="BF5" s="80">
        <f>-Assumptions!$B$10*'P&amp;L'!BF4</f>
        <v>-608665448.34019971</v>
      </c>
      <c r="BG5" s="80">
        <f>-Assumptions!$B$10*'P&amp;L'!BG4</f>
        <v>-617573580.29874921</v>
      </c>
      <c r="BH5" s="80">
        <f>-Assumptions!$B$10*'P&amp;L'!BH4</f>
        <v>-626612087.35121512</v>
      </c>
      <c r="BI5" s="81">
        <f>-Assumptions!$B$10*'P&amp;L'!BI4</f>
        <v>-635782877.60416663</v>
      </c>
    </row>
    <row r="6" spans="1:62" ht="18" customHeight="1">
      <c r="A6" s="88" t="s">
        <v>28</v>
      </c>
      <c r="B6" s="79">
        <f>B4+B5</f>
        <v>24368095.204104386</v>
      </c>
      <c r="C6" s="80">
        <f t="shared" ref="C6:BI6" si="0">C4+C5</f>
        <v>26391291.727835342</v>
      </c>
      <c r="D6" s="80">
        <f t="shared" si="0"/>
        <v>28582467.083697077</v>
      </c>
      <c r="E6" s="80">
        <f t="shared" si="0"/>
        <v>30955567.958387122</v>
      </c>
      <c r="F6" s="80">
        <f t="shared" si="0"/>
        <v>33525698.982537806</v>
      </c>
      <c r="G6" s="80">
        <f t="shared" si="0"/>
        <v>36309218.870694526</v>
      </c>
      <c r="H6" s="80">
        <f t="shared" si="0"/>
        <v>39323844.543455459</v>
      </c>
      <c r="I6" s="80">
        <f t="shared" si="0"/>
        <v>42588763.894503258</v>
      </c>
      <c r="J6" s="80">
        <f t="shared" si="0"/>
        <v>46124757.920283511</v>
      </c>
      <c r="K6" s="80">
        <f t="shared" si="0"/>
        <v>49954332.989677183</v>
      </c>
      <c r="L6" s="80">
        <f t="shared" si="0"/>
        <v>54101864.095554948</v>
      </c>
      <c r="M6" s="81">
        <f t="shared" si="0"/>
        <v>58593750</v>
      </c>
      <c r="N6" s="79">
        <f t="shared" si="0"/>
        <v>85495443.841226548</v>
      </c>
      <c r="O6" s="80">
        <f t="shared" si="0"/>
        <v>99798642.928412303</v>
      </c>
      <c r="P6" s="80">
        <f t="shared" si="0"/>
        <v>116494735.65923594</v>
      </c>
      <c r="Q6" s="80">
        <f t="shared" si="0"/>
        <v>135984047.85974938</v>
      </c>
      <c r="R6" s="80">
        <f t="shared" si="0"/>
        <v>158733878.98328221</v>
      </c>
      <c r="S6" s="80">
        <f t="shared" si="0"/>
        <v>185289706.65049091</v>
      </c>
      <c r="T6" s="80">
        <f t="shared" si="0"/>
        <v>216288265.68423268</v>
      </c>
      <c r="U6" s="80">
        <f t="shared" si="0"/>
        <v>252472815.23811129</v>
      </c>
      <c r="V6" s="80">
        <f t="shared" si="0"/>
        <v>294710960.08193785</v>
      </c>
      <c r="W6" s="80">
        <f t="shared" si="0"/>
        <v>344015453.34892231</v>
      </c>
      <c r="X6" s="80">
        <f t="shared" si="0"/>
        <v>401568479.53656322</v>
      </c>
      <c r="Y6" s="81">
        <f t="shared" si="0"/>
        <v>468749999.99999994</v>
      </c>
      <c r="Z6" s="79">
        <f t="shared" si="0"/>
        <v>644300985.38453817</v>
      </c>
      <c r="AA6" s="80">
        <f t="shared" si="0"/>
        <v>708477883.3365109</v>
      </c>
      <c r="AB6" s="80">
        <f t="shared" si="0"/>
        <v>779047250.52905107</v>
      </c>
      <c r="AC6" s="80">
        <f t="shared" si="0"/>
        <v>856645821.74205065</v>
      </c>
      <c r="AD6" s="80">
        <f t="shared" si="0"/>
        <v>941973755.00620902</v>
      </c>
      <c r="AE6" s="80">
        <f t="shared" si="0"/>
        <v>1035800949.0037316</v>
      </c>
      <c r="AF6" s="80">
        <f t="shared" si="0"/>
        <v>1138973989.7264538</v>
      </c>
      <c r="AG6" s="80">
        <f t="shared" si="0"/>
        <v>1252423789.0698462</v>
      </c>
      <c r="AH6" s="80">
        <f t="shared" si="0"/>
        <v>1377173984.2845678</v>
      </c>
      <c r="AI6" s="80">
        <f t="shared" si="0"/>
        <v>1514350174.0723155</v>
      </c>
      <c r="AJ6" s="80">
        <f t="shared" si="0"/>
        <v>1665190074.6616144</v>
      </c>
      <c r="AK6" s="81">
        <f t="shared" si="0"/>
        <v>1831054687.5</v>
      </c>
      <c r="AL6" s="79">
        <f t="shared" si="0"/>
        <v>2389940571.7009983</v>
      </c>
      <c r="AM6" s="80">
        <f t="shared" si="0"/>
        <v>2495530461.3259926</v>
      </c>
      <c r="AN6" s="80">
        <f t="shared" si="0"/>
        <v>2605785414.5609512</v>
      </c>
      <c r="AO6" s="80">
        <f t="shared" si="0"/>
        <v>2720911538.4352708</v>
      </c>
      <c r="AP6" s="80">
        <f t="shared" si="0"/>
        <v>2841124045.9865661</v>
      </c>
      <c r="AQ6" s="80">
        <f t="shared" si="0"/>
        <v>2966647658.5729346</v>
      </c>
      <c r="AR6" s="80">
        <f t="shared" si="0"/>
        <v>3097717025.9597626</v>
      </c>
      <c r="AS6" s="80">
        <f t="shared" si="0"/>
        <v>3234577164.9663815</v>
      </c>
      <c r="AT6" s="80">
        <f t="shared" si="0"/>
        <v>3377483917.4925518</v>
      </c>
      <c r="AU6" s="80">
        <f t="shared" si="0"/>
        <v>3526704428.7810011</v>
      </c>
      <c r="AV6" s="80">
        <f t="shared" si="0"/>
        <v>3682517646.8100696</v>
      </c>
      <c r="AW6" s="81">
        <f t="shared" si="0"/>
        <v>3845214843.75</v>
      </c>
      <c r="AX6" s="79">
        <f t="shared" si="0"/>
        <v>4876864426.4026318</v>
      </c>
      <c r="AY6" s="80">
        <f t="shared" si="0"/>
        <v>4948239846.1390743</v>
      </c>
      <c r="AZ6" s="80">
        <f t="shared" si="0"/>
        <v>5020659881.8617563</v>
      </c>
      <c r="BA6" s="80">
        <f t="shared" si="0"/>
        <v>5094139822.0630322</v>
      </c>
      <c r="BB6" s="80">
        <f t="shared" si="0"/>
        <v>5168695178.9902029</v>
      </c>
      <c r="BC6" s="80">
        <f t="shared" si="0"/>
        <v>5244341691.920289</v>
      </c>
      <c r="BD6" s="80">
        <f t="shared" si="0"/>
        <v>5321095330.482729</v>
      </c>
      <c r="BE6" s="80">
        <f t="shared" si="0"/>
        <v>5398972298.0307016</v>
      </c>
      <c r="BF6" s="80">
        <f t="shared" si="0"/>
        <v>5477989035.0617971</v>
      </c>
      <c r="BG6" s="80">
        <f t="shared" si="0"/>
        <v>5558162222.6887426</v>
      </c>
      <c r="BH6" s="80">
        <f t="shared" si="0"/>
        <v>5639508786.1609354</v>
      </c>
      <c r="BI6" s="81">
        <f t="shared" si="0"/>
        <v>5722045898.437499</v>
      </c>
    </row>
    <row r="7" spans="1:62" ht="18" customHeight="1">
      <c r="A7" s="56"/>
      <c r="B7" s="79"/>
      <c r="C7" s="80"/>
      <c r="D7" s="80"/>
      <c r="E7" s="80"/>
      <c r="F7" s="80"/>
      <c r="G7" s="80"/>
      <c r="H7" s="80"/>
      <c r="I7" s="80"/>
      <c r="J7" s="80"/>
      <c r="K7" s="80"/>
      <c r="L7" s="80"/>
      <c r="M7" s="81"/>
      <c r="N7" s="79"/>
      <c r="O7" s="80"/>
      <c r="P7" s="80"/>
      <c r="Q7" s="80"/>
      <c r="R7" s="80"/>
      <c r="S7" s="80"/>
      <c r="T7" s="80"/>
      <c r="U7" s="80"/>
      <c r="V7" s="80"/>
      <c r="W7" s="80"/>
      <c r="X7" s="80"/>
      <c r="Y7" s="85"/>
      <c r="Z7" s="86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5"/>
      <c r="AL7" s="86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5"/>
      <c r="AX7" s="86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5"/>
    </row>
    <row r="8" spans="1:62" ht="18" customHeight="1">
      <c r="A8" s="56" t="s">
        <v>36</v>
      </c>
      <c r="B8" s="79"/>
      <c r="C8" s="80"/>
      <c r="D8" s="80"/>
      <c r="E8" s="80"/>
      <c r="F8" s="80"/>
      <c r="G8" s="80"/>
      <c r="H8" s="80"/>
      <c r="I8" s="80"/>
      <c r="J8" s="80"/>
      <c r="K8" s="80"/>
      <c r="L8" s="80"/>
      <c r="M8" s="81"/>
      <c r="N8" s="79"/>
      <c r="O8" s="80"/>
      <c r="P8" s="80"/>
      <c r="Q8" s="80"/>
      <c r="R8" s="80"/>
      <c r="S8" s="80"/>
      <c r="T8" s="80"/>
      <c r="U8" s="80"/>
      <c r="V8" s="80"/>
      <c r="W8" s="80"/>
      <c r="X8" s="80"/>
      <c r="Y8" s="85"/>
      <c r="Z8" s="86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5"/>
      <c r="AL8" s="86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5"/>
      <c r="AX8" s="86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5"/>
    </row>
    <row r="9" spans="1:62" ht="18" customHeight="1">
      <c r="A9" s="56" t="s">
        <v>31</v>
      </c>
      <c r="B9" s="79">
        <f>Assumptions!$B$18*Assumptions!$C$18</f>
        <v>60000000</v>
      </c>
      <c r="C9" s="80">
        <f>Assumptions!$B$18*Assumptions!$C$18</f>
        <v>60000000</v>
      </c>
      <c r="D9" s="80">
        <f>Assumptions!$B$18*Assumptions!$C$18</f>
        <v>60000000</v>
      </c>
      <c r="E9" s="80">
        <f>Assumptions!$B$18*Assumptions!$C$18</f>
        <v>60000000</v>
      </c>
      <c r="F9" s="80">
        <f>Assumptions!$B$18*Assumptions!$C$18</f>
        <v>60000000</v>
      </c>
      <c r="G9" s="80">
        <f>Assumptions!$B$18*Assumptions!$C$18</f>
        <v>60000000</v>
      </c>
      <c r="H9" s="80">
        <f>Assumptions!$B$18*Assumptions!$C$18</f>
        <v>60000000</v>
      </c>
      <c r="I9" s="80">
        <f>Assumptions!$B$18*Assumptions!$C$18</f>
        <v>60000000</v>
      </c>
      <c r="J9" s="80">
        <f>Assumptions!$B$18*Assumptions!$C$18</f>
        <v>60000000</v>
      </c>
      <c r="K9" s="80">
        <f>Assumptions!$B$18*Assumptions!$C$18</f>
        <v>60000000</v>
      </c>
      <c r="L9" s="80">
        <f>Assumptions!$B$18*Assumptions!$C$18</f>
        <v>60000000</v>
      </c>
      <c r="M9" s="81">
        <f>Assumptions!$B$18*Assumptions!$C$18</f>
        <v>60000000</v>
      </c>
      <c r="N9" s="79">
        <f>Assumptions!$B$18*Assumptions!$D$18*(1+Assumptions!$B$3)</f>
        <v>120000000</v>
      </c>
      <c r="O9" s="80">
        <f>Assumptions!$B$18*Assumptions!$D$18*(1+Assumptions!$B$3)</f>
        <v>120000000</v>
      </c>
      <c r="P9" s="80">
        <f>Assumptions!$B$18*Assumptions!$D$18*(1+Assumptions!$B$3)</f>
        <v>120000000</v>
      </c>
      <c r="Q9" s="80">
        <f>Assumptions!$B$18*Assumptions!$D$18*(1+Assumptions!$B$3)</f>
        <v>120000000</v>
      </c>
      <c r="R9" s="80">
        <f>Assumptions!$B$18*Assumptions!$D$18*(1+Assumptions!$B$3)</f>
        <v>120000000</v>
      </c>
      <c r="S9" s="80">
        <f>Assumptions!$B$18*Assumptions!$D$18*(1+Assumptions!$B$3)</f>
        <v>120000000</v>
      </c>
      <c r="T9" s="80">
        <f>Assumptions!$B$18*Assumptions!$D$18*(1+Assumptions!$B$3)</f>
        <v>120000000</v>
      </c>
      <c r="U9" s="80">
        <f>Assumptions!$B$18*Assumptions!$D$18*(1+Assumptions!$B$3)</f>
        <v>120000000</v>
      </c>
      <c r="V9" s="80">
        <f>Assumptions!$B$18*Assumptions!$D$18*(1+Assumptions!$B$3)</f>
        <v>120000000</v>
      </c>
      <c r="W9" s="80">
        <f>Assumptions!$B$18*Assumptions!$D$18*(1+Assumptions!$B$3)</f>
        <v>120000000</v>
      </c>
      <c r="X9" s="80">
        <f>Assumptions!$B$18*Assumptions!$D$18*(1+Assumptions!$B$3)</f>
        <v>120000000</v>
      </c>
      <c r="Y9" s="81">
        <f>Assumptions!$B$18*Assumptions!$D$18*(1+Assumptions!$B$3)</f>
        <v>120000000</v>
      </c>
      <c r="Z9" s="79">
        <f>Assumptions!$B$18*Assumptions!$E$18*(1+Assumptions!$B$3)^2</f>
        <v>172800000</v>
      </c>
      <c r="AA9" s="80">
        <f>Assumptions!$B$18*Assumptions!$E$18*(1+Assumptions!$B$3)^2</f>
        <v>172800000</v>
      </c>
      <c r="AB9" s="80">
        <f>Assumptions!$B$18*Assumptions!$E$18*(1+Assumptions!$B$3)^2</f>
        <v>172800000</v>
      </c>
      <c r="AC9" s="80">
        <f>Assumptions!$B$18*Assumptions!$E$18*(1+Assumptions!$B$3)^2</f>
        <v>172800000</v>
      </c>
      <c r="AD9" s="80">
        <f>Assumptions!$B$18*Assumptions!$E$18*(1+Assumptions!$B$3)^2</f>
        <v>172800000</v>
      </c>
      <c r="AE9" s="80">
        <f>Assumptions!$B$18*Assumptions!$E$18*(1+Assumptions!$B$3)^2</f>
        <v>172800000</v>
      </c>
      <c r="AF9" s="80">
        <f>Assumptions!$B$18*Assumptions!$E$18*(1+Assumptions!$B$3)^2</f>
        <v>172800000</v>
      </c>
      <c r="AG9" s="80">
        <f>Assumptions!$B$18*Assumptions!$E$18*(1+Assumptions!$B$3)^2</f>
        <v>172800000</v>
      </c>
      <c r="AH9" s="80">
        <f>Assumptions!$B$18*Assumptions!$E$18*(1+Assumptions!$B$3)^2</f>
        <v>172800000</v>
      </c>
      <c r="AI9" s="80">
        <f>Assumptions!$B$18*Assumptions!$E$18*(1+Assumptions!$B$3)^2</f>
        <v>172800000</v>
      </c>
      <c r="AJ9" s="80">
        <f>Assumptions!$B$18*Assumptions!$E$18*(1+Assumptions!$B$3)^2</f>
        <v>172800000</v>
      </c>
      <c r="AK9" s="81">
        <f>Assumptions!$B$18*Assumptions!$E$18*(1+Assumptions!$B$3)^2</f>
        <v>172800000</v>
      </c>
      <c r="AL9" s="79">
        <f>Assumptions!$B$18*Assumptions!$F$18*(1+Assumptions!$B$3)^3</f>
        <v>241920000</v>
      </c>
      <c r="AM9" s="80">
        <f>Assumptions!$B$18*Assumptions!$F$18*(1+Assumptions!$B$3)^3</f>
        <v>241920000</v>
      </c>
      <c r="AN9" s="80">
        <f>Assumptions!$B$18*Assumptions!$F$18*(1+Assumptions!$B$3)^3</f>
        <v>241920000</v>
      </c>
      <c r="AO9" s="80">
        <f>Assumptions!$B$18*Assumptions!$F$18*(1+Assumptions!$B$3)^3</f>
        <v>241920000</v>
      </c>
      <c r="AP9" s="80">
        <f>Assumptions!$B$18*Assumptions!$F$18*(1+Assumptions!$B$3)^3</f>
        <v>241920000</v>
      </c>
      <c r="AQ9" s="80">
        <f>Assumptions!$B$18*Assumptions!$F$18*(1+Assumptions!$B$3)^3</f>
        <v>241920000</v>
      </c>
      <c r="AR9" s="80">
        <f>Assumptions!$B$18*Assumptions!$F$18*(1+Assumptions!$B$3)^3</f>
        <v>241920000</v>
      </c>
      <c r="AS9" s="80">
        <f>Assumptions!$B$18*Assumptions!$F$18*(1+Assumptions!$B$3)^3</f>
        <v>241920000</v>
      </c>
      <c r="AT9" s="80">
        <f>Assumptions!$B$18*Assumptions!$F$18*(1+Assumptions!$B$3)^3</f>
        <v>241920000</v>
      </c>
      <c r="AU9" s="80">
        <f>Assumptions!$B$18*Assumptions!$F$18*(1+Assumptions!$B$3)^3</f>
        <v>241920000</v>
      </c>
      <c r="AV9" s="80">
        <f>Assumptions!$B$18*Assumptions!$F$18*(1+Assumptions!$B$3)^3</f>
        <v>241920000</v>
      </c>
      <c r="AW9" s="81">
        <f>Assumptions!$B$18*Assumptions!$F$18*(1+Assumptions!$B$3)^3</f>
        <v>241920000</v>
      </c>
      <c r="AX9" s="79">
        <f>Assumptions!$B$18*Assumptions!$G$18*(1+Assumptions!$B$3)^4</f>
        <v>290304000</v>
      </c>
      <c r="AY9" s="80">
        <f>Assumptions!$B$18*Assumptions!$G$18*(1+Assumptions!$B$3)^4</f>
        <v>290304000</v>
      </c>
      <c r="AZ9" s="80">
        <f>Assumptions!$B$18*Assumptions!$G$18*(1+Assumptions!$B$3)^4</f>
        <v>290304000</v>
      </c>
      <c r="BA9" s="80">
        <f>Assumptions!$B$18*Assumptions!$G$18*(1+Assumptions!$B$3)^4</f>
        <v>290304000</v>
      </c>
      <c r="BB9" s="80">
        <f>Assumptions!$B$18*Assumptions!$G$18*(1+Assumptions!$B$3)^4</f>
        <v>290304000</v>
      </c>
      <c r="BC9" s="80">
        <f>Assumptions!$B$18*Assumptions!$G$18*(1+Assumptions!$B$3)^4</f>
        <v>290304000</v>
      </c>
      <c r="BD9" s="80">
        <f>Assumptions!$B$18*Assumptions!$G$18*(1+Assumptions!$B$3)^4</f>
        <v>290304000</v>
      </c>
      <c r="BE9" s="80">
        <f>Assumptions!$B$18*Assumptions!$G$18*(1+Assumptions!$B$3)^4</f>
        <v>290304000</v>
      </c>
      <c r="BF9" s="80">
        <f>Assumptions!$B$18*Assumptions!$G$18*(1+Assumptions!$B$3)^4</f>
        <v>290304000</v>
      </c>
      <c r="BG9" s="80">
        <f>Assumptions!$B$18*Assumptions!$G$18*(1+Assumptions!$B$3)^4</f>
        <v>290304000</v>
      </c>
      <c r="BH9" s="80">
        <f>Assumptions!$B$18*Assumptions!$G$18*(1+Assumptions!$B$3)^4</f>
        <v>290304000</v>
      </c>
      <c r="BI9" s="81">
        <f>Assumptions!$B$18*Assumptions!$G$18*(1+Assumptions!$B$3)^4</f>
        <v>290304000</v>
      </c>
    </row>
    <row r="10" spans="1:62" ht="18" customHeight="1">
      <c r="A10" s="56" t="s">
        <v>32</v>
      </c>
      <c r="B10" s="79">
        <f>Assumptions!$B$19*Assumptions!$C$19</f>
        <v>36000000</v>
      </c>
      <c r="C10" s="80">
        <f>Assumptions!$B$19*Assumptions!$C$19</f>
        <v>36000000</v>
      </c>
      <c r="D10" s="80">
        <f>Assumptions!$B$19*Assumptions!$C$19</f>
        <v>36000000</v>
      </c>
      <c r="E10" s="80">
        <f>Assumptions!$B$19*Assumptions!$C$19</f>
        <v>36000000</v>
      </c>
      <c r="F10" s="80">
        <f>Assumptions!$B$19*Assumptions!$C$19</f>
        <v>36000000</v>
      </c>
      <c r="G10" s="80">
        <f>Assumptions!$B$19*Assumptions!$C$19</f>
        <v>36000000</v>
      </c>
      <c r="H10" s="80">
        <f>Assumptions!$B$19*Assumptions!$C$19</f>
        <v>36000000</v>
      </c>
      <c r="I10" s="80">
        <f>Assumptions!$B$19*Assumptions!$C$19</f>
        <v>36000000</v>
      </c>
      <c r="J10" s="80">
        <f>Assumptions!$B$19*Assumptions!$C$19</f>
        <v>36000000</v>
      </c>
      <c r="K10" s="80">
        <f>Assumptions!$B$19*Assumptions!$C$19</f>
        <v>36000000</v>
      </c>
      <c r="L10" s="80">
        <f>Assumptions!$B$19*Assumptions!$C$19</f>
        <v>36000000</v>
      </c>
      <c r="M10" s="81">
        <f>Assumptions!$B$19*Assumptions!$C$19</f>
        <v>36000000</v>
      </c>
      <c r="N10" s="79">
        <f>Assumptions!$B$19*Assumptions!$D$19*(1+Assumptions!$B$3)</f>
        <v>129600000</v>
      </c>
      <c r="O10" s="80">
        <f>Assumptions!$B$19*Assumptions!$D$19*(1+Assumptions!$B$3)</f>
        <v>129600000</v>
      </c>
      <c r="P10" s="80">
        <f>Assumptions!$B$19*Assumptions!$D$19*(1+Assumptions!$B$3)</f>
        <v>129600000</v>
      </c>
      <c r="Q10" s="80">
        <f>Assumptions!$B$19*Assumptions!$D$19*(1+Assumptions!$B$3)</f>
        <v>129600000</v>
      </c>
      <c r="R10" s="80">
        <f>Assumptions!$B$19*Assumptions!$D$19*(1+Assumptions!$B$3)</f>
        <v>129600000</v>
      </c>
      <c r="S10" s="80">
        <f>Assumptions!$B$19*Assumptions!$D$19*(1+Assumptions!$B$3)</f>
        <v>129600000</v>
      </c>
      <c r="T10" s="80">
        <f>Assumptions!$B$19*Assumptions!$D$19*(1+Assumptions!$B$3)</f>
        <v>129600000</v>
      </c>
      <c r="U10" s="80">
        <f>Assumptions!$B$19*Assumptions!$D$19*(1+Assumptions!$B$3)</f>
        <v>129600000</v>
      </c>
      <c r="V10" s="80">
        <f>Assumptions!$B$19*Assumptions!$D$19*(1+Assumptions!$B$3)</f>
        <v>129600000</v>
      </c>
      <c r="W10" s="80">
        <f>Assumptions!$B$19*Assumptions!$D$19*(1+Assumptions!$B$3)</f>
        <v>129600000</v>
      </c>
      <c r="X10" s="80">
        <f>Assumptions!$B$19*Assumptions!$D$19*(1+Assumptions!$B$3)</f>
        <v>129600000</v>
      </c>
      <c r="Y10" s="81">
        <f>Assumptions!$B$19*Assumptions!$D$19*(1+Assumptions!$B$3)</f>
        <v>129600000</v>
      </c>
      <c r="Z10" s="79">
        <f>Assumptions!$B$19*Assumptions!$D$19*(1+Assumptions!$B$3)^2</f>
        <v>155520000</v>
      </c>
      <c r="AA10" s="80">
        <f>Assumptions!$B$19*Assumptions!$D$19*(1+Assumptions!$B$3)^2</f>
        <v>155520000</v>
      </c>
      <c r="AB10" s="80">
        <f>Assumptions!$B$19*Assumptions!$D$19*(1+Assumptions!$B$3)^2</f>
        <v>155520000</v>
      </c>
      <c r="AC10" s="80">
        <f>Assumptions!$B$19*Assumptions!$D$19*(1+Assumptions!$B$3)^2</f>
        <v>155520000</v>
      </c>
      <c r="AD10" s="80">
        <f>Assumptions!$B$19*Assumptions!$D$19*(1+Assumptions!$B$3)^2</f>
        <v>155520000</v>
      </c>
      <c r="AE10" s="80">
        <f>Assumptions!$B$19*Assumptions!$D$19*(1+Assumptions!$B$3)^2</f>
        <v>155520000</v>
      </c>
      <c r="AF10" s="80">
        <f>Assumptions!$B$19*Assumptions!$D$19*(1+Assumptions!$B$3)^2</f>
        <v>155520000</v>
      </c>
      <c r="AG10" s="80">
        <f>Assumptions!$B$19*Assumptions!$D$19*(1+Assumptions!$B$3)^2</f>
        <v>155520000</v>
      </c>
      <c r="AH10" s="80">
        <f>Assumptions!$B$19*Assumptions!$D$19*(1+Assumptions!$B$3)^2</f>
        <v>155520000</v>
      </c>
      <c r="AI10" s="80">
        <f>Assumptions!$B$19*Assumptions!$D$19*(1+Assumptions!$B$3)^2</f>
        <v>155520000</v>
      </c>
      <c r="AJ10" s="80">
        <f>Assumptions!$B$19*Assumptions!$D$19*(1+Assumptions!$B$3)^2</f>
        <v>155520000</v>
      </c>
      <c r="AK10" s="81">
        <f>Assumptions!$B$19*Assumptions!$D$19*(1+Assumptions!$B$3)^2</f>
        <v>155520000</v>
      </c>
      <c r="AL10" s="79">
        <f>Assumptions!$B$19*Assumptions!$D$19*(1+Assumptions!$B$3)^3</f>
        <v>186624000</v>
      </c>
      <c r="AM10" s="80">
        <f>Assumptions!$B$19*Assumptions!$D$19*(1+Assumptions!$B$3)^3</f>
        <v>186624000</v>
      </c>
      <c r="AN10" s="80">
        <f>Assumptions!$B$19*Assumptions!$D$19*(1+Assumptions!$B$3)^3</f>
        <v>186624000</v>
      </c>
      <c r="AO10" s="80">
        <f>Assumptions!$B$19*Assumptions!$D$19*(1+Assumptions!$B$3)^3</f>
        <v>186624000</v>
      </c>
      <c r="AP10" s="80">
        <f>Assumptions!$B$19*Assumptions!$D$19*(1+Assumptions!$B$3)^3</f>
        <v>186624000</v>
      </c>
      <c r="AQ10" s="80">
        <f>Assumptions!$B$19*Assumptions!$D$19*(1+Assumptions!$B$3)^3</f>
        <v>186624000</v>
      </c>
      <c r="AR10" s="80">
        <f>Assumptions!$B$19*Assumptions!$D$19*(1+Assumptions!$B$3)^3</f>
        <v>186624000</v>
      </c>
      <c r="AS10" s="80">
        <f>Assumptions!$B$19*Assumptions!$D$19*(1+Assumptions!$B$3)^3</f>
        <v>186624000</v>
      </c>
      <c r="AT10" s="80">
        <f>Assumptions!$B$19*Assumptions!$D$19*(1+Assumptions!$B$3)^3</f>
        <v>186624000</v>
      </c>
      <c r="AU10" s="80">
        <f>Assumptions!$B$19*Assumptions!$D$19*(1+Assumptions!$B$3)^3</f>
        <v>186624000</v>
      </c>
      <c r="AV10" s="80">
        <f>Assumptions!$B$19*Assumptions!$D$19*(1+Assumptions!$B$3)^3</f>
        <v>186624000</v>
      </c>
      <c r="AW10" s="81">
        <f>Assumptions!$B$19*Assumptions!$D$19*(1+Assumptions!$B$3)^3</f>
        <v>186624000</v>
      </c>
      <c r="AX10" s="79">
        <f>Assumptions!$B$19*Assumptions!$D$19*(1+Assumptions!$B$3)^4</f>
        <v>223948800</v>
      </c>
      <c r="AY10" s="80">
        <f>Assumptions!$B$19*Assumptions!$D$19*(1+Assumptions!$B$3)^4</f>
        <v>223948800</v>
      </c>
      <c r="AZ10" s="80">
        <f>Assumptions!$B$19*Assumptions!$D$19*(1+Assumptions!$B$3)^4</f>
        <v>223948800</v>
      </c>
      <c r="BA10" s="80">
        <f>Assumptions!$B$19*Assumptions!$D$19*(1+Assumptions!$B$3)^4</f>
        <v>223948800</v>
      </c>
      <c r="BB10" s="80">
        <f>Assumptions!$B$19*Assumptions!$D$19*(1+Assumptions!$B$3)^4</f>
        <v>223948800</v>
      </c>
      <c r="BC10" s="80">
        <f>Assumptions!$B$19*Assumptions!$D$19*(1+Assumptions!$B$3)^4</f>
        <v>223948800</v>
      </c>
      <c r="BD10" s="80">
        <f>Assumptions!$B$19*Assumptions!$D$19*(1+Assumptions!$B$3)^4</f>
        <v>223948800</v>
      </c>
      <c r="BE10" s="80">
        <f>Assumptions!$B$19*Assumptions!$D$19*(1+Assumptions!$B$3)^4</f>
        <v>223948800</v>
      </c>
      <c r="BF10" s="80">
        <f>Assumptions!$B$19*Assumptions!$D$19*(1+Assumptions!$B$3)^4</f>
        <v>223948800</v>
      </c>
      <c r="BG10" s="80">
        <f>Assumptions!$B$19*Assumptions!$D$19*(1+Assumptions!$B$3)^4</f>
        <v>223948800</v>
      </c>
      <c r="BH10" s="80">
        <f>Assumptions!$B$19*Assumptions!$D$19*(1+Assumptions!$B$3)^4</f>
        <v>223948800</v>
      </c>
      <c r="BI10" s="81">
        <f>Assumptions!$B$19*Assumptions!$D$19*(1+Assumptions!$B$3)^4</f>
        <v>223948800</v>
      </c>
    </row>
    <row r="11" spans="1:62" ht="18" customHeight="1">
      <c r="A11" s="56" t="s">
        <v>33</v>
      </c>
      <c r="B11" s="79">
        <f>Assumptions!$B$20*Assumptions!$C$20</f>
        <v>56000000</v>
      </c>
      <c r="C11" s="80">
        <f>Assumptions!$B$20*Assumptions!$C$20</f>
        <v>56000000</v>
      </c>
      <c r="D11" s="80">
        <f>Assumptions!$B$20*Assumptions!$C$20</f>
        <v>56000000</v>
      </c>
      <c r="E11" s="80">
        <f>Assumptions!$B$20*Assumptions!$C$20</f>
        <v>56000000</v>
      </c>
      <c r="F11" s="80">
        <f>Assumptions!$B$20*Assumptions!$C$20</f>
        <v>56000000</v>
      </c>
      <c r="G11" s="80">
        <f>Assumptions!$B$20*Assumptions!$C$20</f>
        <v>56000000</v>
      </c>
      <c r="H11" s="80">
        <f>Assumptions!$B$20*Assumptions!$C$20</f>
        <v>56000000</v>
      </c>
      <c r="I11" s="80">
        <f>Assumptions!$B$20*Assumptions!$C$20</f>
        <v>56000000</v>
      </c>
      <c r="J11" s="80">
        <f>Assumptions!$B$20*Assumptions!$C$20</f>
        <v>56000000</v>
      </c>
      <c r="K11" s="80">
        <f>Assumptions!$B$20*Assumptions!$C$20</f>
        <v>56000000</v>
      </c>
      <c r="L11" s="80">
        <f>Assumptions!$B$20*Assumptions!$C$20</f>
        <v>56000000</v>
      </c>
      <c r="M11" s="81">
        <f>Assumptions!$B$20*Assumptions!$C$20</f>
        <v>56000000</v>
      </c>
      <c r="N11" s="79">
        <f>Assumptions!$B$20*Assumptions!$D$20*(1+Assumptions!$B$3)</f>
        <v>201600000</v>
      </c>
      <c r="O11" s="80">
        <f>Assumptions!$B$20*Assumptions!$D$20*(1+Assumptions!$B$3)</f>
        <v>201600000</v>
      </c>
      <c r="P11" s="80">
        <f>Assumptions!$B$20*Assumptions!$D$20*(1+Assumptions!$B$3)</f>
        <v>201600000</v>
      </c>
      <c r="Q11" s="80">
        <f>Assumptions!$B$20*Assumptions!$D$20*(1+Assumptions!$B$3)</f>
        <v>201600000</v>
      </c>
      <c r="R11" s="80">
        <f>Assumptions!$B$20*Assumptions!$D$20*(1+Assumptions!$B$3)</f>
        <v>201600000</v>
      </c>
      <c r="S11" s="80">
        <f>Assumptions!$B$20*Assumptions!$D$20*(1+Assumptions!$B$3)</f>
        <v>201600000</v>
      </c>
      <c r="T11" s="80">
        <f>Assumptions!$B$20*Assumptions!$D$20*(1+Assumptions!$B$3)</f>
        <v>201600000</v>
      </c>
      <c r="U11" s="80">
        <f>Assumptions!$B$20*Assumptions!$D$20*(1+Assumptions!$B$3)</f>
        <v>201600000</v>
      </c>
      <c r="V11" s="80">
        <f>Assumptions!$B$20*Assumptions!$D$20*(1+Assumptions!$B$3)</f>
        <v>201600000</v>
      </c>
      <c r="W11" s="80">
        <f>Assumptions!$B$20*Assumptions!$D$20*(1+Assumptions!$B$3)</f>
        <v>201600000</v>
      </c>
      <c r="X11" s="80">
        <f>Assumptions!$B$20*Assumptions!$D$20*(1+Assumptions!$B$3)</f>
        <v>201600000</v>
      </c>
      <c r="Y11" s="81">
        <f>Assumptions!$B$20*Assumptions!$D$20*(1+Assumptions!$B$3)</f>
        <v>201600000</v>
      </c>
      <c r="Z11" s="79">
        <f>Assumptions!$B$20*Assumptions!$D$20*(1+Assumptions!$B$3)^2</f>
        <v>241920000</v>
      </c>
      <c r="AA11" s="80">
        <f>Assumptions!$B$20*Assumptions!$D$20*(1+Assumptions!$B$3)^2</f>
        <v>241920000</v>
      </c>
      <c r="AB11" s="80">
        <f>Assumptions!$B$20*Assumptions!$D$20*(1+Assumptions!$B$3)^2</f>
        <v>241920000</v>
      </c>
      <c r="AC11" s="80">
        <f>Assumptions!$B$20*Assumptions!$D$20*(1+Assumptions!$B$3)^2</f>
        <v>241920000</v>
      </c>
      <c r="AD11" s="80">
        <f>Assumptions!$B$20*Assumptions!$D$20*(1+Assumptions!$B$3)^2</f>
        <v>241920000</v>
      </c>
      <c r="AE11" s="80">
        <f>Assumptions!$B$20*Assumptions!$D$20*(1+Assumptions!$B$3)^2</f>
        <v>241920000</v>
      </c>
      <c r="AF11" s="80">
        <f>Assumptions!$B$20*Assumptions!$D$20*(1+Assumptions!$B$3)^2</f>
        <v>241920000</v>
      </c>
      <c r="AG11" s="80">
        <f>Assumptions!$B$20*Assumptions!$D$20*(1+Assumptions!$B$3)^2</f>
        <v>241920000</v>
      </c>
      <c r="AH11" s="80">
        <f>Assumptions!$B$20*Assumptions!$D$20*(1+Assumptions!$B$3)^2</f>
        <v>241920000</v>
      </c>
      <c r="AI11" s="80">
        <f>Assumptions!$B$20*Assumptions!$D$20*(1+Assumptions!$B$3)^2</f>
        <v>241920000</v>
      </c>
      <c r="AJ11" s="80">
        <f>Assumptions!$B$20*Assumptions!$D$20*(1+Assumptions!$B$3)^2</f>
        <v>241920000</v>
      </c>
      <c r="AK11" s="81">
        <f>Assumptions!$B$20*Assumptions!$D$20*(1+Assumptions!$B$3)^2</f>
        <v>241920000</v>
      </c>
      <c r="AL11" s="79">
        <f>Assumptions!$B$20*Assumptions!$D$20*(1+Assumptions!$B$3)^3</f>
        <v>290304000</v>
      </c>
      <c r="AM11" s="80">
        <f>Assumptions!$B$20*Assumptions!$D$20*(1+Assumptions!$B$3)^3</f>
        <v>290304000</v>
      </c>
      <c r="AN11" s="80">
        <f>Assumptions!$B$20*Assumptions!$D$20*(1+Assumptions!$B$3)^3</f>
        <v>290304000</v>
      </c>
      <c r="AO11" s="80">
        <f>Assumptions!$B$20*Assumptions!$D$20*(1+Assumptions!$B$3)^3</f>
        <v>290304000</v>
      </c>
      <c r="AP11" s="80">
        <f>Assumptions!$B$20*Assumptions!$D$20*(1+Assumptions!$B$3)^3</f>
        <v>290304000</v>
      </c>
      <c r="AQ11" s="80">
        <f>Assumptions!$B$20*Assumptions!$D$20*(1+Assumptions!$B$3)^3</f>
        <v>290304000</v>
      </c>
      <c r="AR11" s="80">
        <f>Assumptions!$B$20*Assumptions!$D$20*(1+Assumptions!$B$3)^3</f>
        <v>290304000</v>
      </c>
      <c r="AS11" s="80">
        <f>Assumptions!$B$20*Assumptions!$D$20*(1+Assumptions!$B$3)^3</f>
        <v>290304000</v>
      </c>
      <c r="AT11" s="80">
        <f>Assumptions!$B$20*Assumptions!$D$20*(1+Assumptions!$B$3)^3</f>
        <v>290304000</v>
      </c>
      <c r="AU11" s="80">
        <f>Assumptions!$B$20*Assumptions!$D$20*(1+Assumptions!$B$3)^3</f>
        <v>290304000</v>
      </c>
      <c r="AV11" s="80">
        <f>Assumptions!$B$20*Assumptions!$D$20*(1+Assumptions!$B$3)^3</f>
        <v>290304000</v>
      </c>
      <c r="AW11" s="81">
        <f>Assumptions!$B$20*Assumptions!$D$20*(1+Assumptions!$B$3)^3</f>
        <v>290304000</v>
      </c>
      <c r="AX11" s="79">
        <f>Assumptions!$B$20*Assumptions!$D$20*(1+Assumptions!$B$3)^4</f>
        <v>348364800</v>
      </c>
      <c r="AY11" s="80">
        <f>Assumptions!$B$20*Assumptions!$D$20*(1+Assumptions!$B$3)^4</f>
        <v>348364800</v>
      </c>
      <c r="AZ11" s="80">
        <f>Assumptions!$B$20*Assumptions!$D$20*(1+Assumptions!$B$3)^4</f>
        <v>348364800</v>
      </c>
      <c r="BA11" s="80">
        <f>Assumptions!$B$20*Assumptions!$D$20*(1+Assumptions!$B$3)^4</f>
        <v>348364800</v>
      </c>
      <c r="BB11" s="80">
        <f>Assumptions!$B$20*Assumptions!$D$20*(1+Assumptions!$B$3)^4</f>
        <v>348364800</v>
      </c>
      <c r="BC11" s="80">
        <f>Assumptions!$B$20*Assumptions!$D$20*(1+Assumptions!$B$3)^4</f>
        <v>348364800</v>
      </c>
      <c r="BD11" s="80">
        <f>Assumptions!$B$20*Assumptions!$D$20*(1+Assumptions!$B$3)^4</f>
        <v>348364800</v>
      </c>
      <c r="BE11" s="80">
        <f>Assumptions!$B$20*Assumptions!$D$20*(1+Assumptions!$B$3)^4</f>
        <v>348364800</v>
      </c>
      <c r="BF11" s="80">
        <f>Assumptions!$B$20*Assumptions!$D$20*(1+Assumptions!$B$3)^4</f>
        <v>348364800</v>
      </c>
      <c r="BG11" s="80">
        <f>Assumptions!$B$20*Assumptions!$D$20*(1+Assumptions!$B$3)^4</f>
        <v>348364800</v>
      </c>
      <c r="BH11" s="80">
        <f>Assumptions!$B$20*Assumptions!$D$20*(1+Assumptions!$B$3)^4</f>
        <v>348364800</v>
      </c>
      <c r="BI11" s="81">
        <f>Assumptions!$B$20*Assumptions!$D$20*(1+Assumptions!$B$3)^4</f>
        <v>348364800</v>
      </c>
      <c r="BJ11" s="55"/>
    </row>
    <row r="12" spans="1:62" ht="18" customHeight="1">
      <c r="A12" s="56" t="s">
        <v>34</v>
      </c>
      <c r="B12" s="79">
        <f>Assumptions!$B$21*Assumptions!$C$21</f>
        <v>30000000</v>
      </c>
      <c r="C12" s="80">
        <f>Assumptions!$B$21*Assumptions!$C$21</f>
        <v>30000000</v>
      </c>
      <c r="D12" s="80">
        <f>Assumptions!$B$21*Assumptions!$C$21</f>
        <v>30000000</v>
      </c>
      <c r="E12" s="80">
        <f>Assumptions!$B$21*Assumptions!$C$21</f>
        <v>30000000</v>
      </c>
      <c r="F12" s="80">
        <f>Assumptions!$B$21*Assumptions!$C$21</f>
        <v>30000000</v>
      </c>
      <c r="G12" s="80">
        <f>Assumptions!$B$21*Assumptions!$C$21</f>
        <v>30000000</v>
      </c>
      <c r="H12" s="80">
        <f>Assumptions!$B$21*Assumptions!$C$21</f>
        <v>30000000</v>
      </c>
      <c r="I12" s="80">
        <f>Assumptions!$B$21*Assumptions!$C$21</f>
        <v>30000000</v>
      </c>
      <c r="J12" s="80">
        <f>Assumptions!$B$21*Assumptions!$C$21</f>
        <v>30000000</v>
      </c>
      <c r="K12" s="80">
        <f>Assumptions!$B$21*Assumptions!$C$21</f>
        <v>30000000</v>
      </c>
      <c r="L12" s="80">
        <f>Assumptions!$B$21*Assumptions!$C$21</f>
        <v>30000000</v>
      </c>
      <c r="M12" s="81">
        <f>Assumptions!$B$21*Assumptions!$C$21</f>
        <v>30000000</v>
      </c>
      <c r="N12" s="79">
        <f>Assumptions!$B$21*Assumptions!$D$21*(1+Assumptions!$B$3)</f>
        <v>36000000</v>
      </c>
      <c r="O12" s="80">
        <f>Assumptions!$B$21*Assumptions!$D$21*(1+Assumptions!$B$3)</f>
        <v>36000000</v>
      </c>
      <c r="P12" s="80">
        <f>Assumptions!$B$21*Assumptions!$D$21*(1+Assumptions!$B$3)</f>
        <v>36000000</v>
      </c>
      <c r="Q12" s="80">
        <f>Assumptions!$B$21*Assumptions!$D$21*(1+Assumptions!$B$3)</f>
        <v>36000000</v>
      </c>
      <c r="R12" s="80">
        <f>Assumptions!$B$21*Assumptions!$D$21*(1+Assumptions!$B$3)</f>
        <v>36000000</v>
      </c>
      <c r="S12" s="80">
        <f>Assumptions!$B$21*Assumptions!$D$21*(1+Assumptions!$B$3)</f>
        <v>36000000</v>
      </c>
      <c r="T12" s="80">
        <f>Assumptions!$B$21*Assumptions!$D$21*(1+Assumptions!$B$3)</f>
        <v>36000000</v>
      </c>
      <c r="U12" s="80">
        <f>Assumptions!$B$21*Assumptions!$D$21*(1+Assumptions!$B$3)</f>
        <v>36000000</v>
      </c>
      <c r="V12" s="80">
        <f>Assumptions!$B$21*Assumptions!$D$21*(1+Assumptions!$B$3)</f>
        <v>36000000</v>
      </c>
      <c r="W12" s="80">
        <f>Assumptions!$B$21*Assumptions!$D$21*(1+Assumptions!$B$3)</f>
        <v>36000000</v>
      </c>
      <c r="X12" s="80">
        <f>Assumptions!$B$21*Assumptions!$D$21*(1+Assumptions!$B$3)</f>
        <v>36000000</v>
      </c>
      <c r="Y12" s="81">
        <f>Assumptions!$B$21*Assumptions!$D$21*(1+Assumptions!$B$3)</f>
        <v>36000000</v>
      </c>
      <c r="Z12" s="79">
        <f>Assumptions!$B$21*Assumptions!$D$21*(1+Assumptions!$B$3)^2</f>
        <v>43200000</v>
      </c>
      <c r="AA12" s="80">
        <f>Assumptions!$B$21*Assumptions!$D$21*(1+Assumptions!$B$3)^2</f>
        <v>43200000</v>
      </c>
      <c r="AB12" s="80">
        <f>Assumptions!$B$21*Assumptions!$D$21*(1+Assumptions!$B$3)^2</f>
        <v>43200000</v>
      </c>
      <c r="AC12" s="80">
        <f>Assumptions!$B$21*Assumptions!$D$21*(1+Assumptions!$B$3)^2</f>
        <v>43200000</v>
      </c>
      <c r="AD12" s="80">
        <f>Assumptions!$B$21*Assumptions!$D$21*(1+Assumptions!$B$3)^2</f>
        <v>43200000</v>
      </c>
      <c r="AE12" s="80">
        <f>Assumptions!$B$21*Assumptions!$D$21*(1+Assumptions!$B$3)^2</f>
        <v>43200000</v>
      </c>
      <c r="AF12" s="80">
        <f>Assumptions!$B$21*Assumptions!$D$21*(1+Assumptions!$B$3)^2</f>
        <v>43200000</v>
      </c>
      <c r="AG12" s="80">
        <f>Assumptions!$B$21*Assumptions!$D$21*(1+Assumptions!$B$3)^2</f>
        <v>43200000</v>
      </c>
      <c r="AH12" s="80">
        <f>Assumptions!$B$21*Assumptions!$D$21*(1+Assumptions!$B$3)^2</f>
        <v>43200000</v>
      </c>
      <c r="AI12" s="80">
        <f>Assumptions!$B$21*Assumptions!$D$21*(1+Assumptions!$B$3)^2</f>
        <v>43200000</v>
      </c>
      <c r="AJ12" s="80">
        <f>Assumptions!$B$21*Assumptions!$D$21*(1+Assumptions!$B$3)^2</f>
        <v>43200000</v>
      </c>
      <c r="AK12" s="81">
        <f>Assumptions!$B$21*Assumptions!$D$21*(1+Assumptions!$B$3)^2</f>
        <v>43200000</v>
      </c>
      <c r="AL12" s="79">
        <f>Assumptions!$B$21*Assumptions!$D$21*(1+Assumptions!$B$3)^3</f>
        <v>51840000</v>
      </c>
      <c r="AM12" s="80">
        <f>Assumptions!$B$21*Assumptions!$D$21*(1+Assumptions!$B$3)^3</f>
        <v>51840000</v>
      </c>
      <c r="AN12" s="80">
        <f>Assumptions!$B$21*Assumptions!$D$21*(1+Assumptions!$B$3)^3</f>
        <v>51840000</v>
      </c>
      <c r="AO12" s="80">
        <f>Assumptions!$B$21*Assumptions!$D$21*(1+Assumptions!$B$3)^3</f>
        <v>51840000</v>
      </c>
      <c r="AP12" s="80">
        <f>Assumptions!$B$21*Assumptions!$D$21*(1+Assumptions!$B$3)^3</f>
        <v>51840000</v>
      </c>
      <c r="AQ12" s="80">
        <f>Assumptions!$B$21*Assumptions!$D$21*(1+Assumptions!$B$3)^3</f>
        <v>51840000</v>
      </c>
      <c r="AR12" s="80">
        <f>Assumptions!$B$21*Assumptions!$D$21*(1+Assumptions!$B$3)^3</f>
        <v>51840000</v>
      </c>
      <c r="AS12" s="80">
        <f>Assumptions!$B$21*Assumptions!$D$21*(1+Assumptions!$B$3)^3</f>
        <v>51840000</v>
      </c>
      <c r="AT12" s="80">
        <f>Assumptions!$B$21*Assumptions!$D$21*(1+Assumptions!$B$3)^3</f>
        <v>51840000</v>
      </c>
      <c r="AU12" s="80">
        <f>Assumptions!$B$21*Assumptions!$D$21*(1+Assumptions!$B$3)^3</f>
        <v>51840000</v>
      </c>
      <c r="AV12" s="80">
        <f>Assumptions!$B$21*Assumptions!$D$21*(1+Assumptions!$B$3)^3</f>
        <v>51840000</v>
      </c>
      <c r="AW12" s="81">
        <f>Assumptions!$B$21*Assumptions!$D$21*(1+Assumptions!$B$3)^3</f>
        <v>51840000</v>
      </c>
      <c r="AX12" s="79">
        <f>Assumptions!$B$21*Assumptions!$D$21*(1+Assumptions!$B$3)^4</f>
        <v>62208000</v>
      </c>
      <c r="AY12" s="80">
        <f>Assumptions!$B$21*Assumptions!$D$21*(1+Assumptions!$B$3)^4</f>
        <v>62208000</v>
      </c>
      <c r="AZ12" s="80">
        <f>Assumptions!$B$21*Assumptions!$D$21*(1+Assumptions!$B$3)^4</f>
        <v>62208000</v>
      </c>
      <c r="BA12" s="80">
        <f>Assumptions!$B$21*Assumptions!$D$21*(1+Assumptions!$B$3)^4</f>
        <v>62208000</v>
      </c>
      <c r="BB12" s="80">
        <f>Assumptions!$B$21*Assumptions!$D$21*(1+Assumptions!$B$3)^4</f>
        <v>62208000</v>
      </c>
      <c r="BC12" s="80">
        <f>Assumptions!$B$21*Assumptions!$D$21*(1+Assumptions!$B$3)^4</f>
        <v>62208000</v>
      </c>
      <c r="BD12" s="80">
        <f>Assumptions!$B$21*Assumptions!$D$21*(1+Assumptions!$B$3)^4</f>
        <v>62208000</v>
      </c>
      <c r="BE12" s="80">
        <f>Assumptions!$B$21*Assumptions!$D$21*(1+Assumptions!$B$3)^4</f>
        <v>62208000</v>
      </c>
      <c r="BF12" s="80">
        <f>Assumptions!$B$21*Assumptions!$D$21*(1+Assumptions!$B$3)^4</f>
        <v>62208000</v>
      </c>
      <c r="BG12" s="80">
        <f>Assumptions!$B$21*Assumptions!$D$21*(1+Assumptions!$B$3)^4</f>
        <v>62208000</v>
      </c>
      <c r="BH12" s="80">
        <f>Assumptions!$B$21*Assumptions!$D$21*(1+Assumptions!$B$3)^4</f>
        <v>62208000</v>
      </c>
      <c r="BI12" s="81">
        <f>Assumptions!$B$21*Assumptions!$D$21*(1+Assumptions!$B$3)^4</f>
        <v>62208000</v>
      </c>
    </row>
    <row r="13" spans="1:62" ht="18" customHeight="1">
      <c r="A13" s="56" t="s">
        <v>35</v>
      </c>
      <c r="B13" s="79">
        <f>SUM(B9:B12)*Assumptions!$B$22</f>
        <v>69160000</v>
      </c>
      <c r="C13" s="80">
        <f>SUM(C9:C12)*Assumptions!$B$22</f>
        <v>69160000</v>
      </c>
      <c r="D13" s="80">
        <f>SUM(D9:D12)*Assumptions!$B$22</f>
        <v>69160000</v>
      </c>
      <c r="E13" s="80">
        <f>SUM(E9:E12)*Assumptions!$B$22</f>
        <v>69160000</v>
      </c>
      <c r="F13" s="80">
        <f>SUM(F9:F12)*Assumptions!$B$22</f>
        <v>69160000</v>
      </c>
      <c r="G13" s="80">
        <f>SUM(G9:G12)*Assumptions!$B$22</f>
        <v>69160000</v>
      </c>
      <c r="H13" s="80">
        <f>SUM(H9:H12)*Assumptions!$B$22</f>
        <v>69160000</v>
      </c>
      <c r="I13" s="80">
        <f>SUM(I9:I12)*Assumptions!$B$22</f>
        <v>69160000</v>
      </c>
      <c r="J13" s="80">
        <f>SUM(J9:J12)*Assumptions!$B$22</f>
        <v>69160000</v>
      </c>
      <c r="K13" s="80">
        <f>SUM(K9:K12)*Assumptions!$B$22</f>
        <v>69160000</v>
      </c>
      <c r="L13" s="80">
        <f>SUM(L9:L12)*Assumptions!$B$22</f>
        <v>69160000</v>
      </c>
      <c r="M13" s="81">
        <f>SUM(M9:M12)*Assumptions!$B$22</f>
        <v>69160000</v>
      </c>
      <c r="N13" s="79">
        <f>SUM(N9:N12)*Assumptions!$B$22</f>
        <v>185136000</v>
      </c>
      <c r="O13" s="80">
        <f>SUM(O9:O12)*Assumptions!$B$22</f>
        <v>185136000</v>
      </c>
      <c r="P13" s="80">
        <f>SUM(P9:P12)*Assumptions!$B$22</f>
        <v>185136000</v>
      </c>
      <c r="Q13" s="80">
        <f>SUM(Q9:Q12)*Assumptions!$B$22</f>
        <v>185136000</v>
      </c>
      <c r="R13" s="80">
        <f>SUM(R9:R12)*Assumptions!$B$22</f>
        <v>185136000</v>
      </c>
      <c r="S13" s="80">
        <f>SUM(S9:S12)*Assumptions!$B$22</f>
        <v>185136000</v>
      </c>
      <c r="T13" s="80">
        <f>SUM(T9:T12)*Assumptions!$B$22</f>
        <v>185136000</v>
      </c>
      <c r="U13" s="80">
        <f>SUM(U9:U12)*Assumptions!$B$22</f>
        <v>185136000</v>
      </c>
      <c r="V13" s="80">
        <f>SUM(V9:V12)*Assumptions!$B$22</f>
        <v>185136000</v>
      </c>
      <c r="W13" s="80">
        <f>SUM(W9:W12)*Assumptions!$B$22</f>
        <v>185136000</v>
      </c>
      <c r="X13" s="80">
        <f>SUM(X9:X12)*Assumptions!$B$22</f>
        <v>185136000</v>
      </c>
      <c r="Y13" s="81">
        <f>SUM(Y9:Y12)*Assumptions!$B$22</f>
        <v>185136000</v>
      </c>
      <c r="Z13" s="79">
        <f>SUM(Z9:Z12)*Assumptions!$B$22</f>
        <v>233107200</v>
      </c>
      <c r="AA13" s="80">
        <f>SUM(AA9:AA12)*Assumptions!$B$22</f>
        <v>233107200</v>
      </c>
      <c r="AB13" s="80">
        <f>SUM(AB9:AB12)*Assumptions!$B$22</f>
        <v>233107200</v>
      </c>
      <c r="AC13" s="80">
        <f>SUM(AC9:AC12)*Assumptions!$B$22</f>
        <v>233107200</v>
      </c>
      <c r="AD13" s="80">
        <f>SUM(AD9:AD12)*Assumptions!$B$22</f>
        <v>233107200</v>
      </c>
      <c r="AE13" s="80">
        <f>SUM(AE9:AE12)*Assumptions!$B$22</f>
        <v>233107200</v>
      </c>
      <c r="AF13" s="80">
        <f>SUM(AF9:AF12)*Assumptions!$B$22</f>
        <v>233107200</v>
      </c>
      <c r="AG13" s="80">
        <f>SUM(AG9:AG12)*Assumptions!$B$22</f>
        <v>233107200</v>
      </c>
      <c r="AH13" s="80">
        <f>SUM(AH9:AH12)*Assumptions!$B$22</f>
        <v>233107200</v>
      </c>
      <c r="AI13" s="80">
        <f>SUM(AI9:AI12)*Assumptions!$B$22</f>
        <v>233107200</v>
      </c>
      <c r="AJ13" s="80">
        <f>SUM(AJ9:AJ12)*Assumptions!$B$22</f>
        <v>233107200</v>
      </c>
      <c r="AK13" s="81">
        <f>SUM(AK9:AK12)*Assumptions!$B$22</f>
        <v>233107200</v>
      </c>
      <c r="AL13" s="79">
        <f>SUM(AL9:AL12)*Assumptions!$B$22</f>
        <v>292861440</v>
      </c>
      <c r="AM13" s="80">
        <f>SUM(AM9:AM12)*Assumptions!$B$22</f>
        <v>292861440</v>
      </c>
      <c r="AN13" s="80">
        <f>SUM(AN9:AN12)*Assumptions!$B$22</f>
        <v>292861440</v>
      </c>
      <c r="AO13" s="80">
        <f>SUM(AO9:AO12)*Assumptions!$B$22</f>
        <v>292861440</v>
      </c>
      <c r="AP13" s="80">
        <f>SUM(AP9:AP12)*Assumptions!$B$22</f>
        <v>292861440</v>
      </c>
      <c r="AQ13" s="80">
        <f>SUM(AQ9:AQ12)*Assumptions!$B$22</f>
        <v>292861440</v>
      </c>
      <c r="AR13" s="80">
        <f>SUM(AR9:AR12)*Assumptions!$B$22</f>
        <v>292861440</v>
      </c>
      <c r="AS13" s="80">
        <f>SUM(AS9:AS12)*Assumptions!$B$22</f>
        <v>292861440</v>
      </c>
      <c r="AT13" s="80">
        <f>SUM(AT9:AT12)*Assumptions!$B$22</f>
        <v>292861440</v>
      </c>
      <c r="AU13" s="80">
        <f>SUM(AU9:AU12)*Assumptions!$B$22</f>
        <v>292861440</v>
      </c>
      <c r="AV13" s="80">
        <f>SUM(AV9:AV12)*Assumptions!$B$22</f>
        <v>292861440</v>
      </c>
      <c r="AW13" s="81">
        <f>SUM(AW9:AW12)*Assumptions!$B$22</f>
        <v>292861440</v>
      </c>
      <c r="AX13" s="79">
        <f>SUM(AX9:AX12)*Assumptions!$B$22</f>
        <v>351433728</v>
      </c>
      <c r="AY13" s="80">
        <f>SUM(AY9:AY12)*Assumptions!$B$22</f>
        <v>351433728</v>
      </c>
      <c r="AZ13" s="80">
        <f>SUM(AZ9:AZ12)*Assumptions!$B$22</f>
        <v>351433728</v>
      </c>
      <c r="BA13" s="80">
        <f>SUM(BA9:BA12)*Assumptions!$B$22</f>
        <v>351433728</v>
      </c>
      <c r="BB13" s="80">
        <f>SUM(BB9:BB12)*Assumptions!$B$22</f>
        <v>351433728</v>
      </c>
      <c r="BC13" s="80">
        <f>SUM(BC9:BC12)*Assumptions!$B$22</f>
        <v>351433728</v>
      </c>
      <c r="BD13" s="80">
        <f>SUM(BD9:BD12)*Assumptions!$B$22</f>
        <v>351433728</v>
      </c>
      <c r="BE13" s="80">
        <f>SUM(BE9:BE12)*Assumptions!$B$22</f>
        <v>351433728</v>
      </c>
      <c r="BF13" s="80">
        <f>SUM(BF9:BF12)*Assumptions!$B$22</f>
        <v>351433728</v>
      </c>
      <c r="BG13" s="80">
        <f>SUM(BG9:BG12)*Assumptions!$B$22</f>
        <v>351433728</v>
      </c>
      <c r="BH13" s="80">
        <f>SUM(BH9:BH12)*Assumptions!$B$22</f>
        <v>351433728</v>
      </c>
      <c r="BI13" s="81">
        <f>SUM(BI9:BI12)*Assumptions!$B$22</f>
        <v>351433728</v>
      </c>
    </row>
    <row r="14" spans="1:62" ht="18" customHeight="1">
      <c r="A14" s="88" t="s">
        <v>37</v>
      </c>
      <c r="B14" s="79">
        <f>-SUM(B9:B13)</f>
        <v>-251160000</v>
      </c>
      <c r="C14" s="80">
        <f t="shared" ref="C14:BI14" si="1">-SUM(C9:C13)</f>
        <v>-251160000</v>
      </c>
      <c r="D14" s="80">
        <f t="shared" si="1"/>
        <v>-251160000</v>
      </c>
      <c r="E14" s="80">
        <f t="shared" si="1"/>
        <v>-251160000</v>
      </c>
      <c r="F14" s="80">
        <f t="shared" si="1"/>
        <v>-251160000</v>
      </c>
      <c r="G14" s="80">
        <f t="shared" si="1"/>
        <v>-251160000</v>
      </c>
      <c r="H14" s="80">
        <f t="shared" si="1"/>
        <v>-251160000</v>
      </c>
      <c r="I14" s="80">
        <f t="shared" si="1"/>
        <v>-251160000</v>
      </c>
      <c r="J14" s="80">
        <f t="shared" si="1"/>
        <v>-251160000</v>
      </c>
      <c r="K14" s="80">
        <f t="shared" si="1"/>
        <v>-251160000</v>
      </c>
      <c r="L14" s="80">
        <f t="shared" si="1"/>
        <v>-251160000</v>
      </c>
      <c r="M14" s="81">
        <f t="shared" si="1"/>
        <v>-251160000</v>
      </c>
      <c r="N14" s="79">
        <f t="shared" si="1"/>
        <v>-672336000</v>
      </c>
      <c r="O14" s="80">
        <f t="shared" si="1"/>
        <v>-672336000</v>
      </c>
      <c r="P14" s="80">
        <f t="shared" si="1"/>
        <v>-672336000</v>
      </c>
      <c r="Q14" s="80">
        <f t="shared" si="1"/>
        <v>-672336000</v>
      </c>
      <c r="R14" s="80">
        <f t="shared" si="1"/>
        <v>-672336000</v>
      </c>
      <c r="S14" s="80">
        <f t="shared" si="1"/>
        <v>-672336000</v>
      </c>
      <c r="T14" s="80">
        <f t="shared" si="1"/>
        <v>-672336000</v>
      </c>
      <c r="U14" s="80">
        <f t="shared" si="1"/>
        <v>-672336000</v>
      </c>
      <c r="V14" s="80">
        <f t="shared" si="1"/>
        <v>-672336000</v>
      </c>
      <c r="W14" s="80">
        <f t="shared" si="1"/>
        <v>-672336000</v>
      </c>
      <c r="X14" s="80">
        <f t="shared" si="1"/>
        <v>-672336000</v>
      </c>
      <c r="Y14" s="81">
        <f t="shared" si="1"/>
        <v>-672336000</v>
      </c>
      <c r="Z14" s="79">
        <f t="shared" si="1"/>
        <v>-846547200</v>
      </c>
      <c r="AA14" s="80">
        <f t="shared" si="1"/>
        <v>-846547200</v>
      </c>
      <c r="AB14" s="80">
        <f t="shared" si="1"/>
        <v>-846547200</v>
      </c>
      <c r="AC14" s="80">
        <f t="shared" si="1"/>
        <v>-846547200</v>
      </c>
      <c r="AD14" s="80">
        <f t="shared" si="1"/>
        <v>-846547200</v>
      </c>
      <c r="AE14" s="80">
        <f t="shared" si="1"/>
        <v>-846547200</v>
      </c>
      <c r="AF14" s="80">
        <f t="shared" si="1"/>
        <v>-846547200</v>
      </c>
      <c r="AG14" s="80">
        <f t="shared" si="1"/>
        <v>-846547200</v>
      </c>
      <c r="AH14" s="80">
        <f t="shared" si="1"/>
        <v>-846547200</v>
      </c>
      <c r="AI14" s="80">
        <f t="shared" si="1"/>
        <v>-846547200</v>
      </c>
      <c r="AJ14" s="80">
        <f t="shared" si="1"/>
        <v>-846547200</v>
      </c>
      <c r="AK14" s="81">
        <f t="shared" si="1"/>
        <v>-846547200</v>
      </c>
      <c r="AL14" s="79">
        <f t="shared" si="1"/>
        <v>-1063549440</v>
      </c>
      <c r="AM14" s="80">
        <f t="shared" si="1"/>
        <v>-1063549440</v>
      </c>
      <c r="AN14" s="80">
        <f t="shared" si="1"/>
        <v>-1063549440</v>
      </c>
      <c r="AO14" s="80">
        <f t="shared" si="1"/>
        <v>-1063549440</v>
      </c>
      <c r="AP14" s="80">
        <f t="shared" si="1"/>
        <v>-1063549440</v>
      </c>
      <c r="AQ14" s="80">
        <f t="shared" si="1"/>
        <v>-1063549440</v>
      </c>
      <c r="AR14" s="80">
        <f t="shared" si="1"/>
        <v>-1063549440</v>
      </c>
      <c r="AS14" s="80">
        <f t="shared" si="1"/>
        <v>-1063549440</v>
      </c>
      <c r="AT14" s="80">
        <f t="shared" si="1"/>
        <v>-1063549440</v>
      </c>
      <c r="AU14" s="80">
        <f t="shared" si="1"/>
        <v>-1063549440</v>
      </c>
      <c r="AV14" s="80">
        <f t="shared" si="1"/>
        <v>-1063549440</v>
      </c>
      <c r="AW14" s="81">
        <f t="shared" si="1"/>
        <v>-1063549440</v>
      </c>
      <c r="AX14" s="79">
        <f t="shared" si="1"/>
        <v>-1276259328</v>
      </c>
      <c r="AY14" s="80">
        <f t="shared" si="1"/>
        <v>-1276259328</v>
      </c>
      <c r="AZ14" s="80">
        <f t="shared" si="1"/>
        <v>-1276259328</v>
      </c>
      <c r="BA14" s="80">
        <f t="shared" si="1"/>
        <v>-1276259328</v>
      </c>
      <c r="BB14" s="80">
        <f t="shared" si="1"/>
        <v>-1276259328</v>
      </c>
      <c r="BC14" s="80">
        <f t="shared" si="1"/>
        <v>-1276259328</v>
      </c>
      <c r="BD14" s="80">
        <f t="shared" si="1"/>
        <v>-1276259328</v>
      </c>
      <c r="BE14" s="80">
        <f t="shared" si="1"/>
        <v>-1276259328</v>
      </c>
      <c r="BF14" s="80">
        <f t="shared" si="1"/>
        <v>-1276259328</v>
      </c>
      <c r="BG14" s="80">
        <f t="shared" si="1"/>
        <v>-1276259328</v>
      </c>
      <c r="BH14" s="80">
        <f t="shared" si="1"/>
        <v>-1276259328</v>
      </c>
      <c r="BI14" s="81">
        <f t="shared" si="1"/>
        <v>-1276259328</v>
      </c>
    </row>
    <row r="15" spans="1:62" ht="18" customHeight="1">
      <c r="A15" s="56"/>
      <c r="B15" s="79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1"/>
      <c r="N15" s="79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5"/>
      <c r="Z15" s="86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5"/>
      <c r="AL15" s="86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5"/>
      <c r="AX15" s="86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5"/>
    </row>
    <row r="16" spans="1:62" ht="18" customHeight="1">
      <c r="A16" s="56" t="s">
        <v>41</v>
      </c>
      <c r="B16" s="79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1"/>
      <c r="N16" s="79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5"/>
      <c r="Z16" s="86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5"/>
      <c r="AL16" s="86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5"/>
      <c r="AX16" s="86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5"/>
    </row>
    <row r="17" spans="1:61" ht="18" customHeight="1">
      <c r="A17" s="56" t="s">
        <v>38</v>
      </c>
      <c r="B17" s="79">
        <f>-B3*Assumptions!$B$12</f>
        <v>-2166052.9070315012</v>
      </c>
      <c r="C17" s="80">
        <f>-C3*Assumptions!$B$12</f>
        <v>-2345892.5980298081</v>
      </c>
      <c r="D17" s="80">
        <f>-D3*Assumptions!$B$12</f>
        <v>-2540663.7407730734</v>
      </c>
      <c r="E17" s="80">
        <f>-E3*Assumptions!$B$12</f>
        <v>-2751606.0407455219</v>
      </c>
      <c r="F17" s="80">
        <f>-F3*Assumptions!$B$12</f>
        <v>-2980062.131781138</v>
      </c>
      <c r="G17" s="80">
        <f>-G3*Assumptions!$B$12</f>
        <v>-3227486.1218395131</v>
      </c>
      <c r="H17" s="80">
        <f>-H3*Assumptions!$B$12</f>
        <v>-3495452.8483071518</v>
      </c>
      <c r="I17" s="80">
        <f>-I3*Assumptions!$B$12</f>
        <v>-3785667.9017336234</v>
      </c>
      <c r="J17" s="80">
        <f>-J3*Assumptions!$B$12</f>
        <v>-4099978.481802979</v>
      </c>
      <c r="K17" s="80">
        <f>-K3*Assumptions!$B$12</f>
        <v>-4440385.1546379719</v>
      </c>
      <c r="L17" s="80">
        <f>-L3*Assumptions!$B$12</f>
        <v>-4809054.5862715505</v>
      </c>
      <c r="M17" s="81">
        <f>-M3*Assumptions!$B$12</f>
        <v>-5208333.333333334</v>
      </c>
      <c r="N17" s="79">
        <f>-N3*Assumptions!$C$12</f>
        <v>-8815530.2094064709</v>
      </c>
      <c r="O17" s="80">
        <f>-O3*Assumptions!$C$12</f>
        <v>-10290348.959729623</v>
      </c>
      <c r="P17" s="80">
        <f>-P3*Assumptions!$C$12</f>
        <v>-12011901.632418994</v>
      </c>
      <c r="Q17" s="80">
        <f>-Q3*Assumptions!$C$12</f>
        <v>-14021466.268205268</v>
      </c>
      <c r="R17" s="80">
        <f>-R3*Assumptions!$C$12</f>
        <v>-16367226.632942876</v>
      </c>
      <c r="S17" s="80">
        <f>-S3*Assumptions!$C$12</f>
        <v>-19105427.530183952</v>
      </c>
      <c r="T17" s="80">
        <f>-T3*Assumptions!$C$12</f>
        <v>-22301723.394996438</v>
      </c>
      <c r="U17" s="80">
        <f>-U3*Assumptions!$C$12</f>
        <v>-26032752.504551917</v>
      </c>
      <c r="V17" s="80">
        <f>-V3*Assumptions!$C$12</f>
        <v>-30387974.550670926</v>
      </c>
      <c r="W17" s="80">
        <f>-W3*Assumptions!$C$12</f>
        <v>-35471815.634199992</v>
      </c>
      <c r="X17" s="80">
        <f>-X3*Assumptions!$C$12</f>
        <v>-41406172.112214521</v>
      </c>
      <c r="Y17" s="81">
        <f>-Y3*Assumptions!$C$12</f>
        <v>-48333333.333333328</v>
      </c>
      <c r="Z17" s="79">
        <f>-Z3*Assumptions!$D$12</f>
        <v>-71749357.732422158</v>
      </c>
      <c r="AA17" s="80">
        <f>-AA3*Assumptions!$D$12</f>
        <v>-78896097.088353857</v>
      </c>
      <c r="AB17" s="80">
        <f>-AB3*Assumptions!$D$12</f>
        <v>-86754701.818915114</v>
      </c>
      <c r="AC17" s="80">
        <f>-AC3*Assumptions!$D$12</f>
        <v>-95396078.70919475</v>
      </c>
      <c r="AD17" s="80">
        <f>-AD3*Assumptions!$D$12</f>
        <v>-104898197.35749143</v>
      </c>
      <c r="AE17" s="80">
        <f>-AE3*Assumptions!$D$12</f>
        <v>-115346793.68105555</v>
      </c>
      <c r="AF17" s="80">
        <f>-AF3*Assumptions!$D$12</f>
        <v>-126836143.4959379</v>
      </c>
      <c r="AG17" s="80">
        <f>-AG3*Assumptions!$D$12</f>
        <v>-139469913.15081808</v>
      </c>
      <c r="AH17" s="80">
        <f>-AH3*Assumptions!$D$12</f>
        <v>-153362094.88992947</v>
      </c>
      <c r="AI17" s="80">
        <f>-AI3*Assumptions!$D$12</f>
        <v>-168638035.38469306</v>
      </c>
      <c r="AJ17" s="80">
        <f>-AJ3*Assumptions!$D$12</f>
        <v>-185435566.71431741</v>
      </c>
      <c r="AK17" s="81">
        <f>-AK3*Assumptions!$D$12</f>
        <v>-203906250</v>
      </c>
      <c r="AL17" s="79">
        <f>-AL3*Assumptions!$E$12</f>
        <v>-266143782.06462318</v>
      </c>
      <c r="AM17" s="80">
        <f>-AM3*Assumptions!$E$12</f>
        <v>-277902272.17326254</v>
      </c>
      <c r="AN17" s="80">
        <f>-AN3*Assumptions!$E$12</f>
        <v>-290180263.76550752</v>
      </c>
      <c r="AO17" s="80">
        <f>-AO3*Assumptions!$E$12</f>
        <v>-303000708.92015177</v>
      </c>
      <c r="AP17" s="80">
        <f>-AP3*Assumptions!$E$12</f>
        <v>-316387573.76106399</v>
      </c>
      <c r="AQ17" s="80">
        <f>-AQ3*Assumptions!$E$12</f>
        <v>-330365883.25868195</v>
      </c>
      <c r="AR17" s="80">
        <f>-AR3*Assumptions!$E$12</f>
        <v>-344961768.01087916</v>
      </c>
      <c r="AS17" s="80">
        <f>-AS3*Assumptions!$E$12</f>
        <v>-360202513.09065628</v>
      </c>
      <c r="AT17" s="80">
        <f>-AT3*Assumptions!$E$12</f>
        <v>-376116609.05197054</v>
      </c>
      <c r="AU17" s="80">
        <f>-AU3*Assumptions!$E$12</f>
        <v>-392733805.18905228</v>
      </c>
      <c r="AV17" s="80">
        <f>-AV3*Assumptions!$E$12</f>
        <v>-410085165.14876944</v>
      </c>
      <c r="AW17" s="81">
        <f>-AW3*Assumptions!$E$12</f>
        <v>-428203125</v>
      </c>
      <c r="AX17" s="79">
        <f>-AX3*Assumptions!$F$12</f>
        <v>-629981642.12806869</v>
      </c>
      <c r="AY17" s="80">
        <f>-AY3*Assumptions!$F$12</f>
        <v>-639201747.54861486</v>
      </c>
      <c r="AZ17" s="80">
        <f>-AZ3*Assumptions!$F$12</f>
        <v>-648556793.95518529</v>
      </c>
      <c r="BA17" s="80">
        <f>-BA3*Assumptions!$F$12</f>
        <v>-658048756.27852952</v>
      </c>
      <c r="BB17" s="80">
        <f>-BB3*Assumptions!$F$12</f>
        <v>-667679638.3535248</v>
      </c>
      <c r="BC17" s="80">
        <f>-BC3*Assumptions!$F$12</f>
        <v>-677451473.34220231</v>
      </c>
      <c r="BD17" s="80">
        <f>-BD3*Assumptions!$F$12</f>
        <v>-687366324.16296577</v>
      </c>
      <c r="BE17" s="80">
        <f>-BE3*Assumptions!$F$12</f>
        <v>-697426283.92609084</v>
      </c>
      <c r="BF17" s="80">
        <f>-BF3*Assumptions!$F$12</f>
        <v>-707633476.37559879</v>
      </c>
      <c r="BG17" s="80">
        <f>-BG3*Assumptions!$F$12</f>
        <v>-717990056.33759737</v>
      </c>
      <c r="BH17" s="80">
        <f>-BH3*Assumptions!$F$12</f>
        <v>-728498210.17518294</v>
      </c>
      <c r="BI17" s="81">
        <f>-BI3*Assumptions!$F$12</f>
        <v>-739160156.25</v>
      </c>
    </row>
    <row r="18" spans="1:61" ht="18" customHeight="1">
      <c r="A18" s="56" t="s">
        <v>39</v>
      </c>
      <c r="B18" s="79">
        <f>-B6*Assumptions!$B$14</f>
        <v>-2436809.5204104385</v>
      </c>
      <c r="C18" s="80">
        <f>-C6*Assumptions!$B$14</f>
        <v>-2639129.1727835345</v>
      </c>
      <c r="D18" s="80">
        <f>-D6*Assumptions!$B$14</f>
        <v>-2858246.7083697077</v>
      </c>
      <c r="E18" s="80">
        <f>-E6*Assumptions!$B$14</f>
        <v>-3095556.7958387122</v>
      </c>
      <c r="F18" s="80">
        <f>-F6*Assumptions!$B$14</f>
        <v>-3352569.8982537808</v>
      </c>
      <c r="G18" s="80">
        <f>-G6*Assumptions!$B$14</f>
        <v>-3630921.8870694526</v>
      </c>
      <c r="H18" s="80">
        <f>-H6*Assumptions!$B$14</f>
        <v>-3932384.4543455462</v>
      </c>
      <c r="I18" s="80">
        <f>-I6*Assumptions!$B$14</f>
        <v>-4258876.3894503256</v>
      </c>
      <c r="J18" s="80">
        <f>-J6*Assumptions!$B$14</f>
        <v>-4612475.7920283517</v>
      </c>
      <c r="K18" s="80">
        <f>-K6*Assumptions!$B$14</f>
        <v>-4995433.2989677181</v>
      </c>
      <c r="L18" s="80">
        <f>-L6*Assumptions!$B$14</f>
        <v>-5410186.4095554948</v>
      </c>
      <c r="M18" s="81">
        <f>-M6*Assumptions!$B$14</f>
        <v>-5859375</v>
      </c>
      <c r="N18" s="79">
        <f>-N6*Assumptions!$B$14</f>
        <v>-8549544.3841226548</v>
      </c>
      <c r="O18" s="80">
        <f>-O6*Assumptions!$B$14</f>
        <v>-9979864.2928412315</v>
      </c>
      <c r="P18" s="80">
        <f>-P6*Assumptions!$B$14</f>
        <v>-11649473.565923594</v>
      </c>
      <c r="Q18" s="80">
        <f>-Q6*Assumptions!$B$14</f>
        <v>-13598404.785974938</v>
      </c>
      <c r="R18" s="80">
        <f>-R6*Assumptions!$B$14</f>
        <v>-15873387.898328222</v>
      </c>
      <c r="S18" s="80">
        <f>-S6*Assumptions!$B$14</f>
        <v>-18528970.665049091</v>
      </c>
      <c r="T18" s="80">
        <f>-T6*Assumptions!$B$14</f>
        <v>-21628826.568423271</v>
      </c>
      <c r="U18" s="80">
        <f>-U6*Assumptions!$B$14</f>
        <v>-25247281.523811132</v>
      </c>
      <c r="V18" s="80">
        <f>-V6*Assumptions!$B$14</f>
        <v>-29471096.008193787</v>
      </c>
      <c r="W18" s="80">
        <f>-W6*Assumptions!$B$14</f>
        <v>-34401545.334892236</v>
      </c>
      <c r="X18" s="80">
        <f>-X6*Assumptions!$B$14</f>
        <v>-40156847.953656323</v>
      </c>
      <c r="Y18" s="81">
        <f>-Y6*Assumptions!$B$14</f>
        <v>-46875000</v>
      </c>
      <c r="Z18" s="79">
        <f>-Z6*Assumptions!$B$14</f>
        <v>-64430098.538453817</v>
      </c>
      <c r="AA18" s="80">
        <f>-AA6*Assumptions!$B$14</f>
        <v>-70847788.333651096</v>
      </c>
      <c r="AB18" s="80">
        <f>-AB6*Assumptions!$B$14</f>
        <v>-77904725.052905113</v>
      </c>
      <c r="AC18" s="80">
        <f>-AC6*Assumptions!$B$14</f>
        <v>-85664582.174205065</v>
      </c>
      <c r="AD18" s="80">
        <f>-AD6*Assumptions!$B$14</f>
        <v>-94197375.500620902</v>
      </c>
      <c r="AE18" s="80">
        <f>-AE6*Assumptions!$B$14</f>
        <v>-103580094.90037316</v>
      </c>
      <c r="AF18" s="80">
        <f>-AF6*Assumptions!$B$14</f>
        <v>-113897398.97264539</v>
      </c>
      <c r="AG18" s="80">
        <f>-AG6*Assumptions!$B$14</f>
        <v>-125242378.90698463</v>
      </c>
      <c r="AH18" s="80">
        <f>-AH6*Assumptions!$B$14</f>
        <v>-137717398.42845678</v>
      </c>
      <c r="AI18" s="80">
        <f>-AI6*Assumptions!$B$14</f>
        <v>-151435017.40723154</v>
      </c>
      <c r="AJ18" s="80">
        <f>-AJ6*Assumptions!$B$14</f>
        <v>-166519007.46616146</v>
      </c>
      <c r="AK18" s="81">
        <f>-AK6*Assumptions!$B$14</f>
        <v>-183105468.75</v>
      </c>
      <c r="AL18" s="79">
        <f>-AL6*Assumptions!$B$14</f>
        <v>-238994057.17009985</v>
      </c>
      <c r="AM18" s="80">
        <f>-AM6*Assumptions!$B$14</f>
        <v>-249553046.13259926</v>
      </c>
      <c r="AN18" s="80">
        <f>-AN6*Assumptions!$B$14</f>
        <v>-260578541.45609513</v>
      </c>
      <c r="AO18" s="80">
        <f>-AO6*Assumptions!$B$14</f>
        <v>-272091153.84352708</v>
      </c>
      <c r="AP18" s="80">
        <f>-AP6*Assumptions!$B$14</f>
        <v>-284112404.59865659</v>
      </c>
      <c r="AQ18" s="80">
        <f>-AQ6*Assumptions!$B$14</f>
        <v>-296664765.85729349</v>
      </c>
      <c r="AR18" s="80">
        <f>-AR6*Assumptions!$B$14</f>
        <v>-309771702.59597629</v>
      </c>
      <c r="AS18" s="80">
        <f>-AS6*Assumptions!$B$14</f>
        <v>-323457716.49663818</v>
      </c>
      <c r="AT18" s="80">
        <f>-AT6*Assumptions!$B$14</f>
        <v>-337748391.74925518</v>
      </c>
      <c r="AU18" s="80">
        <f>-AU6*Assumptions!$B$14</f>
        <v>-352670442.87810016</v>
      </c>
      <c r="AV18" s="80">
        <f>-AV6*Assumptions!$B$14</f>
        <v>-368251764.68100697</v>
      </c>
      <c r="AW18" s="81">
        <f>-AW6*Assumptions!$B$14</f>
        <v>-384521484.375</v>
      </c>
      <c r="AX18" s="79">
        <f>-AX6*Assumptions!$B$14</f>
        <v>-487686442.6402632</v>
      </c>
      <c r="AY18" s="80">
        <f>-AY6*Assumptions!$B$14</f>
        <v>-494823984.61390746</v>
      </c>
      <c r="AZ18" s="80">
        <f>-AZ6*Assumptions!$B$14</f>
        <v>-502065988.18617564</v>
      </c>
      <c r="BA18" s="80">
        <f>-BA6*Assumptions!$B$14</f>
        <v>-509413982.20630324</v>
      </c>
      <c r="BB18" s="80">
        <f>-BB6*Assumptions!$B$14</f>
        <v>-516869517.89902031</v>
      </c>
      <c r="BC18" s="80">
        <f>-BC6*Assumptions!$B$14</f>
        <v>-524434169.19202894</v>
      </c>
      <c r="BD18" s="80">
        <f>-BD6*Assumptions!$B$14</f>
        <v>-532109533.04827291</v>
      </c>
      <c r="BE18" s="80">
        <f>-BE6*Assumptions!$B$14</f>
        <v>-539897229.80307019</v>
      </c>
      <c r="BF18" s="80">
        <f>-BF6*Assumptions!$B$14</f>
        <v>-547798903.50617969</v>
      </c>
      <c r="BG18" s="80">
        <f>-BG6*Assumptions!$B$14</f>
        <v>-555816222.26887429</v>
      </c>
      <c r="BH18" s="80">
        <f>-BH6*Assumptions!$B$14</f>
        <v>-563950878.61609352</v>
      </c>
      <c r="BI18" s="81">
        <f>-BI6*Assumptions!$B$14</f>
        <v>-572204589.84374988</v>
      </c>
    </row>
    <row r="19" spans="1:61" ht="18" customHeight="1">
      <c r="A19" s="88" t="s">
        <v>42</v>
      </c>
      <c r="B19" s="79">
        <f>SUM(B17:B18)</f>
        <v>-4602862.4274419397</v>
      </c>
      <c r="C19" s="80">
        <f t="shared" ref="C19:BI19" si="2">SUM(C17:C18)</f>
        <v>-4985021.7708133422</v>
      </c>
      <c r="D19" s="80">
        <f t="shared" si="2"/>
        <v>-5398910.4491427811</v>
      </c>
      <c r="E19" s="80">
        <f t="shared" si="2"/>
        <v>-5847162.8365842346</v>
      </c>
      <c r="F19" s="80">
        <f t="shared" si="2"/>
        <v>-6332632.0300349183</v>
      </c>
      <c r="G19" s="80">
        <f t="shared" si="2"/>
        <v>-6858408.0089089656</v>
      </c>
      <c r="H19" s="80">
        <f t="shared" si="2"/>
        <v>-7427837.302652698</v>
      </c>
      <c r="I19" s="80">
        <f t="shared" si="2"/>
        <v>-8044544.2911839485</v>
      </c>
      <c r="J19" s="80">
        <f t="shared" si="2"/>
        <v>-8712454.2738313302</v>
      </c>
      <c r="K19" s="80">
        <f t="shared" si="2"/>
        <v>-9435818.4536056891</v>
      </c>
      <c r="L19" s="80">
        <f t="shared" si="2"/>
        <v>-10219240.995827045</v>
      </c>
      <c r="M19" s="81">
        <f t="shared" si="2"/>
        <v>-11067708.333333334</v>
      </c>
      <c r="N19" s="79">
        <f t="shared" si="2"/>
        <v>-17365074.593529128</v>
      </c>
      <c r="O19" s="80">
        <f t="shared" si="2"/>
        <v>-20270213.252570853</v>
      </c>
      <c r="P19" s="80">
        <f t="shared" si="2"/>
        <v>-23661375.198342588</v>
      </c>
      <c r="Q19" s="80">
        <f t="shared" si="2"/>
        <v>-27619871.054180205</v>
      </c>
      <c r="R19" s="80">
        <f t="shared" si="2"/>
        <v>-32240614.5312711</v>
      </c>
      <c r="S19" s="80">
        <f t="shared" si="2"/>
        <v>-37634398.195233047</v>
      </c>
      <c r="T19" s="80">
        <f t="shared" si="2"/>
        <v>-43930549.963419706</v>
      </c>
      <c r="U19" s="80">
        <f t="shared" si="2"/>
        <v>-51280034.028363049</v>
      </c>
      <c r="V19" s="80">
        <f t="shared" si="2"/>
        <v>-59859070.558864713</v>
      </c>
      <c r="W19" s="80">
        <f t="shared" si="2"/>
        <v>-69873360.96909222</v>
      </c>
      <c r="X19" s="80">
        <f t="shared" si="2"/>
        <v>-81563020.065870851</v>
      </c>
      <c r="Y19" s="81">
        <f t="shared" si="2"/>
        <v>-95208333.333333328</v>
      </c>
      <c r="Z19" s="79">
        <f t="shared" si="2"/>
        <v>-136179456.27087599</v>
      </c>
      <c r="AA19" s="80">
        <f t="shared" si="2"/>
        <v>-149743885.42200494</v>
      </c>
      <c r="AB19" s="80">
        <f t="shared" si="2"/>
        <v>-164659426.87182021</v>
      </c>
      <c r="AC19" s="80">
        <f t="shared" si="2"/>
        <v>-181060660.88339981</v>
      </c>
      <c r="AD19" s="80">
        <f t="shared" si="2"/>
        <v>-199095572.85811234</v>
      </c>
      <c r="AE19" s="80">
        <f t="shared" si="2"/>
        <v>-218926888.58142871</v>
      </c>
      <c r="AF19" s="80">
        <f t="shared" si="2"/>
        <v>-240733542.46858329</v>
      </c>
      <c r="AG19" s="80">
        <f t="shared" si="2"/>
        <v>-264712292.05780271</v>
      </c>
      <c r="AH19" s="80">
        <f t="shared" si="2"/>
        <v>-291079493.31838626</v>
      </c>
      <c r="AI19" s="80">
        <f t="shared" si="2"/>
        <v>-320073052.7919246</v>
      </c>
      <c r="AJ19" s="80">
        <f t="shared" si="2"/>
        <v>-351954574.18047887</v>
      </c>
      <c r="AK19" s="81">
        <f t="shared" si="2"/>
        <v>-387011718.75</v>
      </c>
      <c r="AL19" s="79">
        <f t="shared" si="2"/>
        <v>-505137839.23472303</v>
      </c>
      <c r="AM19" s="80">
        <f t="shared" si="2"/>
        <v>-527455318.30586183</v>
      </c>
      <c r="AN19" s="80">
        <f t="shared" si="2"/>
        <v>-550758805.22160268</v>
      </c>
      <c r="AO19" s="80">
        <f t="shared" si="2"/>
        <v>-575091862.76367879</v>
      </c>
      <c r="AP19" s="80">
        <f t="shared" si="2"/>
        <v>-600499978.35972059</v>
      </c>
      <c r="AQ19" s="80">
        <f t="shared" si="2"/>
        <v>-627030649.11597538</v>
      </c>
      <c r="AR19" s="80">
        <f t="shared" si="2"/>
        <v>-654733470.60685539</v>
      </c>
      <c r="AS19" s="80">
        <f t="shared" si="2"/>
        <v>-683660229.58729446</v>
      </c>
      <c r="AT19" s="80">
        <f t="shared" si="2"/>
        <v>-713865000.80122566</v>
      </c>
      <c r="AU19" s="80">
        <f t="shared" si="2"/>
        <v>-745404248.0671525</v>
      </c>
      <c r="AV19" s="80">
        <f t="shared" si="2"/>
        <v>-778336929.82977641</v>
      </c>
      <c r="AW19" s="81">
        <f t="shared" si="2"/>
        <v>-812724609.375</v>
      </c>
      <c r="AX19" s="79">
        <f t="shared" si="2"/>
        <v>-1117668084.768332</v>
      </c>
      <c r="AY19" s="80">
        <f t="shared" si="2"/>
        <v>-1134025732.1625223</v>
      </c>
      <c r="AZ19" s="80">
        <f t="shared" si="2"/>
        <v>-1150622782.141361</v>
      </c>
      <c r="BA19" s="80">
        <f t="shared" si="2"/>
        <v>-1167462738.4848328</v>
      </c>
      <c r="BB19" s="80">
        <f t="shared" si="2"/>
        <v>-1184549156.2525451</v>
      </c>
      <c r="BC19" s="80">
        <f t="shared" si="2"/>
        <v>-1201885642.5342312</v>
      </c>
      <c r="BD19" s="80">
        <f t="shared" si="2"/>
        <v>-1219475857.2112386</v>
      </c>
      <c r="BE19" s="80">
        <f t="shared" si="2"/>
        <v>-1237323513.729161</v>
      </c>
      <c r="BF19" s="80">
        <f t="shared" si="2"/>
        <v>-1255432379.8817785</v>
      </c>
      <c r="BG19" s="80">
        <f t="shared" si="2"/>
        <v>-1273806278.6064715</v>
      </c>
      <c r="BH19" s="80">
        <f t="shared" si="2"/>
        <v>-1292449088.7912765</v>
      </c>
      <c r="BI19" s="81">
        <f t="shared" si="2"/>
        <v>-1311364746.09375</v>
      </c>
    </row>
    <row r="20" spans="1:61" ht="18" customHeight="1">
      <c r="A20" s="56"/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1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5"/>
      <c r="Z20" s="86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5"/>
      <c r="AL20" s="86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5"/>
      <c r="AX20" s="86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5"/>
    </row>
    <row r="21" spans="1:61" ht="18" customHeight="1">
      <c r="A21" s="56" t="s">
        <v>43</v>
      </c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1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5"/>
      <c r="Z21" s="86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5"/>
      <c r="AL21" s="86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5"/>
      <c r="AX21" s="86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5"/>
    </row>
    <row r="22" spans="1:61" ht="18" customHeight="1">
      <c r="A22" s="56" t="s">
        <v>44</v>
      </c>
      <c r="B22" s="79">
        <f>-Assumptions!$C$23*Assumptions!$B$26</f>
        <v>-9800000</v>
      </c>
      <c r="C22" s="80">
        <f>-Assumptions!$C$23*Assumptions!$B$26</f>
        <v>-9800000</v>
      </c>
      <c r="D22" s="80">
        <f>-Assumptions!$C$23*Assumptions!$B$26</f>
        <v>-9800000</v>
      </c>
      <c r="E22" s="80">
        <f>-Assumptions!$C$23*Assumptions!$B$26</f>
        <v>-9800000</v>
      </c>
      <c r="F22" s="80">
        <f>-Assumptions!$C$23*Assumptions!$B$26</f>
        <v>-9800000</v>
      </c>
      <c r="G22" s="80">
        <f>-Assumptions!$C$23*Assumptions!$B$26</f>
        <v>-9800000</v>
      </c>
      <c r="H22" s="80">
        <f>-Assumptions!$C$23*Assumptions!$B$26</f>
        <v>-9800000</v>
      </c>
      <c r="I22" s="80">
        <f>-Assumptions!$C$23*Assumptions!$B$26</f>
        <v>-9800000</v>
      </c>
      <c r="J22" s="80">
        <f>-Assumptions!$C$23*Assumptions!$B$26</f>
        <v>-9800000</v>
      </c>
      <c r="K22" s="80">
        <f>-Assumptions!$C$23*Assumptions!$B$26</f>
        <v>-9800000</v>
      </c>
      <c r="L22" s="80">
        <f>-Assumptions!$C$23*Assumptions!$B$26</f>
        <v>-9800000</v>
      </c>
      <c r="M22" s="81">
        <f>-Assumptions!$C$23*Assumptions!$B$26</f>
        <v>-9800000</v>
      </c>
      <c r="N22" s="79">
        <f>-Assumptions!$D$23*Assumptions!$B$26*(1+Assumptions!$B$2)</f>
        <v>-24500000</v>
      </c>
      <c r="O22" s="80">
        <f>-Assumptions!$D$23*Assumptions!$B$26*(1+Assumptions!$B$2)</f>
        <v>-24500000</v>
      </c>
      <c r="P22" s="80">
        <f>-Assumptions!$D$23*Assumptions!$B$26*(1+Assumptions!$B$2)</f>
        <v>-24500000</v>
      </c>
      <c r="Q22" s="80">
        <f>-Assumptions!$D$23*Assumptions!$B$26*(1+Assumptions!$B$2)</f>
        <v>-24500000</v>
      </c>
      <c r="R22" s="80">
        <f>-Assumptions!$D$23*Assumptions!$B$26*(1+Assumptions!$B$2)</f>
        <v>-24500000</v>
      </c>
      <c r="S22" s="80">
        <f>-Assumptions!$D$23*Assumptions!$B$26*(1+Assumptions!$B$2)</f>
        <v>-24500000</v>
      </c>
      <c r="T22" s="80">
        <f>-Assumptions!$D$23*Assumptions!$B$26*(1+Assumptions!$B$2)</f>
        <v>-24500000</v>
      </c>
      <c r="U22" s="80">
        <f>-Assumptions!$D$23*Assumptions!$B$26*(1+Assumptions!$B$2)</f>
        <v>-24500000</v>
      </c>
      <c r="V22" s="80">
        <f>-Assumptions!$D$23*Assumptions!$B$26*(1+Assumptions!$B$2)</f>
        <v>-24500000</v>
      </c>
      <c r="W22" s="80">
        <f>-Assumptions!$D$23*Assumptions!$B$26*(1+Assumptions!$B$2)</f>
        <v>-24500000</v>
      </c>
      <c r="X22" s="80">
        <f>-Assumptions!$D$23*Assumptions!$B$26*(1+Assumptions!$B$2)</f>
        <v>-24500000</v>
      </c>
      <c r="Y22" s="81">
        <f>-Assumptions!$D$23*Assumptions!$B$26*(1+Assumptions!$B$2)</f>
        <v>-24500000</v>
      </c>
      <c r="Z22" s="79">
        <f>-Assumptions!$E$23*Assumptions!$B$26*(1+Assumptions!$B$2)^2</f>
        <v>-38281250</v>
      </c>
      <c r="AA22" s="80">
        <f>-Assumptions!$E$23*Assumptions!$B$26*(1+Assumptions!$B$2)^2</f>
        <v>-38281250</v>
      </c>
      <c r="AB22" s="80">
        <f>-Assumptions!$E$23*Assumptions!$B$26*(1+Assumptions!$B$2)^2</f>
        <v>-38281250</v>
      </c>
      <c r="AC22" s="80">
        <f>-Assumptions!$E$23*Assumptions!$B$26*(1+Assumptions!$B$2)^2</f>
        <v>-38281250</v>
      </c>
      <c r="AD22" s="80">
        <f>-Assumptions!$E$23*Assumptions!$B$26*(1+Assumptions!$B$2)^2</f>
        <v>-38281250</v>
      </c>
      <c r="AE22" s="80">
        <f>-Assumptions!$E$23*Assumptions!$B$26*(1+Assumptions!$B$2)^2</f>
        <v>-38281250</v>
      </c>
      <c r="AF22" s="80">
        <f>-Assumptions!$E$23*Assumptions!$B$26*(1+Assumptions!$B$2)^2</f>
        <v>-38281250</v>
      </c>
      <c r="AG22" s="80">
        <f>-Assumptions!$E$23*Assumptions!$B$26*(1+Assumptions!$B$2)^2</f>
        <v>-38281250</v>
      </c>
      <c r="AH22" s="80">
        <f>-Assumptions!$E$23*Assumptions!$B$26*(1+Assumptions!$B$2)^2</f>
        <v>-38281250</v>
      </c>
      <c r="AI22" s="80">
        <f>-Assumptions!$E$23*Assumptions!$B$26*(1+Assumptions!$B$2)^2</f>
        <v>-38281250</v>
      </c>
      <c r="AJ22" s="80">
        <f>-Assumptions!$E$23*Assumptions!$B$26*(1+Assumptions!$B$2)^2</f>
        <v>-38281250</v>
      </c>
      <c r="AK22" s="81">
        <f>-Assumptions!$E$23*Assumptions!$B$26*(1+Assumptions!$B$2)^2</f>
        <v>-38281250</v>
      </c>
      <c r="AL22" s="79">
        <f>-Assumptions!$F$23*Assumptions!$B$26*(1+Assumptions!$B$2)^3</f>
        <v>-65625000</v>
      </c>
      <c r="AM22" s="80">
        <f>-Assumptions!$F$23*Assumptions!$B$26*(1+Assumptions!$B$2)^3</f>
        <v>-65625000</v>
      </c>
      <c r="AN22" s="80">
        <f>-Assumptions!$F$23*Assumptions!$B$26*(1+Assumptions!$B$2)^3</f>
        <v>-65625000</v>
      </c>
      <c r="AO22" s="80">
        <f>-Assumptions!$F$23*Assumptions!$B$26*(1+Assumptions!$B$2)^3</f>
        <v>-65625000</v>
      </c>
      <c r="AP22" s="80">
        <f>-Assumptions!$F$23*Assumptions!$B$26*(1+Assumptions!$B$2)^3</f>
        <v>-65625000</v>
      </c>
      <c r="AQ22" s="80">
        <f>-Assumptions!$F$23*Assumptions!$B$26*(1+Assumptions!$B$2)^3</f>
        <v>-65625000</v>
      </c>
      <c r="AR22" s="80">
        <f>-Assumptions!$F$23*Assumptions!$B$26*(1+Assumptions!$B$2)^3</f>
        <v>-65625000</v>
      </c>
      <c r="AS22" s="80">
        <f>-Assumptions!$F$23*Assumptions!$B$26*(1+Assumptions!$B$2)^3</f>
        <v>-65625000</v>
      </c>
      <c r="AT22" s="80">
        <f>-Assumptions!$F$23*Assumptions!$B$26*(1+Assumptions!$B$2)^3</f>
        <v>-65625000</v>
      </c>
      <c r="AU22" s="80">
        <f>-Assumptions!$F$23*Assumptions!$B$26*(1+Assumptions!$B$2)^3</f>
        <v>-65625000</v>
      </c>
      <c r="AV22" s="80">
        <f>-Assumptions!$F$23*Assumptions!$B$26*(1+Assumptions!$B$2)^3</f>
        <v>-65625000</v>
      </c>
      <c r="AW22" s="81">
        <f>-Assumptions!$F$23*Assumptions!$B$26*(1+Assumptions!$B$2)^3</f>
        <v>-65625000</v>
      </c>
      <c r="AX22" s="79">
        <f>-Assumptions!$G$23*Assumptions!$B$26*(1+Assumptions!$B$2)^4</f>
        <v>-140136718.75</v>
      </c>
      <c r="AY22" s="80">
        <f>-Assumptions!$G$23*Assumptions!$B$26*(1+Assumptions!$B$2)^4</f>
        <v>-140136718.75</v>
      </c>
      <c r="AZ22" s="80">
        <f>-Assumptions!$G$23*Assumptions!$B$26*(1+Assumptions!$B$2)^4</f>
        <v>-140136718.75</v>
      </c>
      <c r="BA22" s="80">
        <f>-Assumptions!$G$23*Assumptions!$B$26*(1+Assumptions!$B$2)^4</f>
        <v>-140136718.75</v>
      </c>
      <c r="BB22" s="80">
        <f>-Assumptions!$G$23*Assumptions!$B$26*(1+Assumptions!$B$2)^4</f>
        <v>-140136718.75</v>
      </c>
      <c r="BC22" s="80">
        <f>-Assumptions!$G$23*Assumptions!$B$26*(1+Assumptions!$B$2)^4</f>
        <v>-140136718.75</v>
      </c>
      <c r="BD22" s="80">
        <f>-Assumptions!$G$23*Assumptions!$B$26*(1+Assumptions!$B$2)^4</f>
        <v>-140136718.75</v>
      </c>
      <c r="BE22" s="80">
        <f>-Assumptions!$G$23*Assumptions!$B$26*(1+Assumptions!$B$2)^4</f>
        <v>-140136718.75</v>
      </c>
      <c r="BF22" s="80">
        <f>-Assumptions!$G$23*Assumptions!$B$26*(1+Assumptions!$B$2)^4</f>
        <v>-140136718.75</v>
      </c>
      <c r="BG22" s="80">
        <f>-Assumptions!$G$23*Assumptions!$B$26*(1+Assumptions!$B$2)^4</f>
        <v>-140136718.75</v>
      </c>
      <c r="BH22" s="80">
        <f>-Assumptions!$G$23*Assumptions!$B$26*(1+Assumptions!$B$2)^4</f>
        <v>-140136718.75</v>
      </c>
      <c r="BI22" s="81">
        <f>-Assumptions!$G$23*Assumptions!$B$26*(1+Assumptions!$B$2)^4</f>
        <v>-140136718.75</v>
      </c>
    </row>
    <row r="23" spans="1:61" ht="18" customHeight="1">
      <c r="A23" s="56" t="s">
        <v>50</v>
      </c>
      <c r="B23" s="79">
        <f>-Assumptions!$C$23*Assumptions!$B$27</f>
        <v>-2800000</v>
      </c>
      <c r="C23" s="80">
        <f>-Assumptions!$C$23*Assumptions!$B$27</f>
        <v>-2800000</v>
      </c>
      <c r="D23" s="80">
        <f>-Assumptions!$C$23*Assumptions!$B$27</f>
        <v>-2800000</v>
      </c>
      <c r="E23" s="80">
        <f>-Assumptions!$C$23*Assumptions!$B$27</f>
        <v>-2800000</v>
      </c>
      <c r="F23" s="80">
        <f>-Assumptions!$C$23*Assumptions!$B$27</f>
        <v>-2800000</v>
      </c>
      <c r="G23" s="80">
        <f>-Assumptions!$C$23*Assumptions!$B$27</f>
        <v>-2800000</v>
      </c>
      <c r="H23" s="80">
        <f>-Assumptions!$C$23*Assumptions!$B$27</f>
        <v>-2800000</v>
      </c>
      <c r="I23" s="80">
        <f>-Assumptions!$C$23*Assumptions!$B$27</f>
        <v>-2800000</v>
      </c>
      <c r="J23" s="80">
        <f>-Assumptions!$C$23*Assumptions!$B$27</f>
        <v>-2800000</v>
      </c>
      <c r="K23" s="80">
        <f>-Assumptions!$C$23*Assumptions!$B$27</f>
        <v>-2800000</v>
      </c>
      <c r="L23" s="80">
        <f>-Assumptions!$C$23*Assumptions!$B$27</f>
        <v>-2800000</v>
      </c>
      <c r="M23" s="81">
        <f>-Assumptions!$C$23*Assumptions!$B$27</f>
        <v>-2800000</v>
      </c>
      <c r="N23" s="79">
        <f>-Assumptions!$D$23*Assumptions!$B$27*(1+Assumptions!$B$2)</f>
        <v>-7000000</v>
      </c>
      <c r="O23" s="80">
        <f>-Assumptions!$D$23*Assumptions!$B$27*(1+Assumptions!$B$2)</f>
        <v>-7000000</v>
      </c>
      <c r="P23" s="80">
        <f>-Assumptions!$D$23*Assumptions!$B$27*(1+Assumptions!$B$2)</f>
        <v>-7000000</v>
      </c>
      <c r="Q23" s="80">
        <f>-Assumptions!$D$23*Assumptions!$B$27*(1+Assumptions!$B$2)</f>
        <v>-7000000</v>
      </c>
      <c r="R23" s="80">
        <f>-Assumptions!$D$23*Assumptions!$B$27*(1+Assumptions!$B$2)</f>
        <v>-7000000</v>
      </c>
      <c r="S23" s="80">
        <f>-Assumptions!$D$23*Assumptions!$B$27*(1+Assumptions!$B$2)</f>
        <v>-7000000</v>
      </c>
      <c r="T23" s="80">
        <f>-Assumptions!$D$23*Assumptions!$B$27*(1+Assumptions!$B$2)</f>
        <v>-7000000</v>
      </c>
      <c r="U23" s="80">
        <f>-Assumptions!$D$23*Assumptions!$B$27*(1+Assumptions!$B$2)</f>
        <v>-7000000</v>
      </c>
      <c r="V23" s="80">
        <f>-Assumptions!$D$23*Assumptions!$B$27*(1+Assumptions!$B$2)</f>
        <v>-7000000</v>
      </c>
      <c r="W23" s="80">
        <f>-Assumptions!$D$23*Assumptions!$B$27*(1+Assumptions!$B$2)</f>
        <v>-7000000</v>
      </c>
      <c r="X23" s="80">
        <f>-Assumptions!$D$23*Assumptions!$B$27*(1+Assumptions!$B$2)</f>
        <v>-7000000</v>
      </c>
      <c r="Y23" s="81">
        <f>-Assumptions!$D$23*Assumptions!$B$27*(1+Assumptions!$B$2)</f>
        <v>-7000000</v>
      </c>
      <c r="Z23" s="79">
        <f>-Assumptions!$E$23*Assumptions!$B$27*(1+Assumptions!$B$2)^2</f>
        <v>-10937500</v>
      </c>
      <c r="AA23" s="80">
        <f>-Assumptions!$E$23*Assumptions!$B$27*(1+Assumptions!$B$2)^2</f>
        <v>-10937500</v>
      </c>
      <c r="AB23" s="80">
        <f>-Assumptions!$E$23*Assumptions!$B$27*(1+Assumptions!$B$2)^2</f>
        <v>-10937500</v>
      </c>
      <c r="AC23" s="80">
        <f>-Assumptions!$E$23*Assumptions!$B$27*(1+Assumptions!$B$2)^2</f>
        <v>-10937500</v>
      </c>
      <c r="AD23" s="80">
        <f>-Assumptions!$E$23*Assumptions!$B$27*(1+Assumptions!$B$2)^2</f>
        <v>-10937500</v>
      </c>
      <c r="AE23" s="80">
        <f>-Assumptions!$E$23*Assumptions!$B$27*(1+Assumptions!$B$2)^2</f>
        <v>-10937500</v>
      </c>
      <c r="AF23" s="80">
        <f>-Assumptions!$E$23*Assumptions!$B$27*(1+Assumptions!$B$2)^2</f>
        <v>-10937500</v>
      </c>
      <c r="AG23" s="80">
        <f>-Assumptions!$E$23*Assumptions!$B$27*(1+Assumptions!$B$2)^2</f>
        <v>-10937500</v>
      </c>
      <c r="AH23" s="80">
        <f>-Assumptions!$E$23*Assumptions!$B$27*(1+Assumptions!$B$2)^2</f>
        <v>-10937500</v>
      </c>
      <c r="AI23" s="80">
        <f>-Assumptions!$E$23*Assumptions!$B$27*(1+Assumptions!$B$2)^2</f>
        <v>-10937500</v>
      </c>
      <c r="AJ23" s="80">
        <f>-Assumptions!$E$23*Assumptions!$B$27*(1+Assumptions!$B$2)^2</f>
        <v>-10937500</v>
      </c>
      <c r="AK23" s="81">
        <f>-Assumptions!$E$23*Assumptions!$B$27*(1+Assumptions!$B$2)^2</f>
        <v>-10937500</v>
      </c>
      <c r="AL23" s="79">
        <f>-Assumptions!$F$23*Assumptions!$B$27*(1+Assumptions!$B$2)^3</f>
        <v>-18750000</v>
      </c>
      <c r="AM23" s="80">
        <f>-Assumptions!$F$23*Assumptions!$B$27*(1+Assumptions!$B$2)^3</f>
        <v>-18750000</v>
      </c>
      <c r="AN23" s="80">
        <f>-Assumptions!$F$23*Assumptions!$B$27*(1+Assumptions!$B$2)^3</f>
        <v>-18750000</v>
      </c>
      <c r="AO23" s="80">
        <f>-Assumptions!$F$23*Assumptions!$B$27*(1+Assumptions!$B$2)^3</f>
        <v>-18750000</v>
      </c>
      <c r="AP23" s="80">
        <f>-Assumptions!$F$23*Assumptions!$B$27*(1+Assumptions!$B$2)^3</f>
        <v>-18750000</v>
      </c>
      <c r="AQ23" s="80">
        <f>-Assumptions!$F$23*Assumptions!$B$27*(1+Assumptions!$B$2)^3</f>
        <v>-18750000</v>
      </c>
      <c r="AR23" s="80">
        <f>-Assumptions!$F$23*Assumptions!$B$27*(1+Assumptions!$B$2)^3</f>
        <v>-18750000</v>
      </c>
      <c r="AS23" s="80">
        <f>-Assumptions!$F$23*Assumptions!$B$27*(1+Assumptions!$B$2)^3</f>
        <v>-18750000</v>
      </c>
      <c r="AT23" s="80">
        <f>-Assumptions!$F$23*Assumptions!$B$27*(1+Assumptions!$B$2)^3</f>
        <v>-18750000</v>
      </c>
      <c r="AU23" s="80">
        <f>-Assumptions!$F$23*Assumptions!$B$27*(1+Assumptions!$B$2)^3</f>
        <v>-18750000</v>
      </c>
      <c r="AV23" s="80">
        <f>-Assumptions!$F$23*Assumptions!$B$27*(1+Assumptions!$B$2)^3</f>
        <v>-18750000</v>
      </c>
      <c r="AW23" s="81">
        <f>-Assumptions!$F$23*Assumptions!$B$27*(1+Assumptions!$B$2)^3</f>
        <v>-18750000</v>
      </c>
      <c r="AX23" s="79">
        <f>-Assumptions!$G$23*Assumptions!$B$27*(1+Assumptions!$B$2)^4</f>
        <v>-40039062.5</v>
      </c>
      <c r="AY23" s="80">
        <f>-Assumptions!$G$23*Assumptions!$B$27*(1+Assumptions!$B$2)^4</f>
        <v>-40039062.5</v>
      </c>
      <c r="AZ23" s="80">
        <f>-Assumptions!$G$23*Assumptions!$B$27*(1+Assumptions!$B$2)^4</f>
        <v>-40039062.5</v>
      </c>
      <c r="BA23" s="80">
        <f>-Assumptions!$G$23*Assumptions!$B$27*(1+Assumptions!$B$2)^4</f>
        <v>-40039062.5</v>
      </c>
      <c r="BB23" s="80">
        <f>-Assumptions!$G$23*Assumptions!$B$27*(1+Assumptions!$B$2)^4</f>
        <v>-40039062.5</v>
      </c>
      <c r="BC23" s="80">
        <f>-Assumptions!$G$23*Assumptions!$B$27*(1+Assumptions!$B$2)^4</f>
        <v>-40039062.5</v>
      </c>
      <c r="BD23" s="80">
        <f>-Assumptions!$G$23*Assumptions!$B$27*(1+Assumptions!$B$2)^4</f>
        <v>-40039062.5</v>
      </c>
      <c r="BE23" s="80">
        <f>-Assumptions!$G$23*Assumptions!$B$27*(1+Assumptions!$B$2)^4</f>
        <v>-40039062.5</v>
      </c>
      <c r="BF23" s="80">
        <f>-Assumptions!$G$23*Assumptions!$B$27*(1+Assumptions!$B$2)^4</f>
        <v>-40039062.5</v>
      </c>
      <c r="BG23" s="80">
        <f>-Assumptions!$G$23*Assumptions!$B$27*(1+Assumptions!$B$2)^4</f>
        <v>-40039062.5</v>
      </c>
      <c r="BH23" s="80">
        <f>-Assumptions!$G$23*Assumptions!$B$27*(1+Assumptions!$B$2)^4</f>
        <v>-40039062.5</v>
      </c>
      <c r="BI23" s="81">
        <f>-Assumptions!$G$23*Assumptions!$B$27*(1+Assumptions!$B$2)^4</f>
        <v>-40039062.5</v>
      </c>
    </row>
    <row r="24" spans="1:61" ht="18" customHeight="1">
      <c r="A24" s="88" t="s">
        <v>51</v>
      </c>
      <c r="B24" s="79">
        <f>SUM(B22:B23)</f>
        <v>-12600000</v>
      </c>
      <c r="C24" s="80">
        <f t="shared" ref="C24:BI24" si="3">SUM(C22:C23)</f>
        <v>-12600000</v>
      </c>
      <c r="D24" s="80">
        <f t="shared" si="3"/>
        <v>-12600000</v>
      </c>
      <c r="E24" s="80">
        <f t="shared" si="3"/>
        <v>-12600000</v>
      </c>
      <c r="F24" s="80">
        <f t="shared" si="3"/>
        <v>-12600000</v>
      </c>
      <c r="G24" s="80">
        <f t="shared" si="3"/>
        <v>-12600000</v>
      </c>
      <c r="H24" s="80">
        <f t="shared" si="3"/>
        <v>-12600000</v>
      </c>
      <c r="I24" s="80">
        <f t="shared" si="3"/>
        <v>-12600000</v>
      </c>
      <c r="J24" s="80">
        <f t="shared" si="3"/>
        <v>-12600000</v>
      </c>
      <c r="K24" s="80">
        <f t="shared" si="3"/>
        <v>-12600000</v>
      </c>
      <c r="L24" s="80">
        <f t="shared" si="3"/>
        <v>-12600000</v>
      </c>
      <c r="M24" s="81">
        <f t="shared" si="3"/>
        <v>-12600000</v>
      </c>
      <c r="N24" s="79">
        <f t="shared" si="3"/>
        <v>-31500000</v>
      </c>
      <c r="O24" s="80">
        <f t="shared" si="3"/>
        <v>-31500000</v>
      </c>
      <c r="P24" s="80">
        <f t="shared" si="3"/>
        <v>-31500000</v>
      </c>
      <c r="Q24" s="80">
        <f t="shared" si="3"/>
        <v>-31500000</v>
      </c>
      <c r="R24" s="80">
        <f t="shared" si="3"/>
        <v>-31500000</v>
      </c>
      <c r="S24" s="80">
        <f t="shared" si="3"/>
        <v>-31500000</v>
      </c>
      <c r="T24" s="80">
        <f t="shared" si="3"/>
        <v>-31500000</v>
      </c>
      <c r="U24" s="80">
        <f t="shared" si="3"/>
        <v>-31500000</v>
      </c>
      <c r="V24" s="80">
        <f t="shared" si="3"/>
        <v>-31500000</v>
      </c>
      <c r="W24" s="80">
        <f t="shared" si="3"/>
        <v>-31500000</v>
      </c>
      <c r="X24" s="80">
        <f t="shared" si="3"/>
        <v>-31500000</v>
      </c>
      <c r="Y24" s="81">
        <f t="shared" si="3"/>
        <v>-31500000</v>
      </c>
      <c r="Z24" s="79">
        <f t="shared" si="3"/>
        <v>-49218750</v>
      </c>
      <c r="AA24" s="80">
        <f t="shared" si="3"/>
        <v>-49218750</v>
      </c>
      <c r="AB24" s="80">
        <f t="shared" si="3"/>
        <v>-49218750</v>
      </c>
      <c r="AC24" s="80">
        <f t="shared" si="3"/>
        <v>-49218750</v>
      </c>
      <c r="AD24" s="80">
        <f t="shared" si="3"/>
        <v>-49218750</v>
      </c>
      <c r="AE24" s="80">
        <f t="shared" si="3"/>
        <v>-49218750</v>
      </c>
      <c r="AF24" s="80">
        <f t="shared" si="3"/>
        <v>-49218750</v>
      </c>
      <c r="AG24" s="80">
        <f t="shared" si="3"/>
        <v>-49218750</v>
      </c>
      <c r="AH24" s="80">
        <f t="shared" si="3"/>
        <v>-49218750</v>
      </c>
      <c r="AI24" s="80">
        <f t="shared" si="3"/>
        <v>-49218750</v>
      </c>
      <c r="AJ24" s="80">
        <f t="shared" si="3"/>
        <v>-49218750</v>
      </c>
      <c r="AK24" s="81">
        <f t="shared" si="3"/>
        <v>-49218750</v>
      </c>
      <c r="AL24" s="79">
        <f t="shared" si="3"/>
        <v>-84375000</v>
      </c>
      <c r="AM24" s="80">
        <f t="shared" si="3"/>
        <v>-84375000</v>
      </c>
      <c r="AN24" s="80">
        <f t="shared" si="3"/>
        <v>-84375000</v>
      </c>
      <c r="AO24" s="80">
        <f t="shared" si="3"/>
        <v>-84375000</v>
      </c>
      <c r="AP24" s="80">
        <f t="shared" si="3"/>
        <v>-84375000</v>
      </c>
      <c r="AQ24" s="80">
        <f t="shared" si="3"/>
        <v>-84375000</v>
      </c>
      <c r="AR24" s="80">
        <f t="shared" si="3"/>
        <v>-84375000</v>
      </c>
      <c r="AS24" s="80">
        <f t="shared" si="3"/>
        <v>-84375000</v>
      </c>
      <c r="AT24" s="80">
        <f t="shared" si="3"/>
        <v>-84375000</v>
      </c>
      <c r="AU24" s="80">
        <f t="shared" si="3"/>
        <v>-84375000</v>
      </c>
      <c r="AV24" s="80">
        <f t="shared" si="3"/>
        <v>-84375000</v>
      </c>
      <c r="AW24" s="81">
        <f t="shared" si="3"/>
        <v>-84375000</v>
      </c>
      <c r="AX24" s="79">
        <f t="shared" si="3"/>
        <v>-180175781.25</v>
      </c>
      <c r="AY24" s="80">
        <f t="shared" si="3"/>
        <v>-180175781.25</v>
      </c>
      <c r="AZ24" s="80">
        <f t="shared" si="3"/>
        <v>-180175781.25</v>
      </c>
      <c r="BA24" s="80">
        <f t="shared" si="3"/>
        <v>-180175781.25</v>
      </c>
      <c r="BB24" s="80">
        <f t="shared" si="3"/>
        <v>-180175781.25</v>
      </c>
      <c r="BC24" s="80">
        <f t="shared" si="3"/>
        <v>-180175781.25</v>
      </c>
      <c r="BD24" s="80">
        <f t="shared" si="3"/>
        <v>-180175781.25</v>
      </c>
      <c r="BE24" s="80">
        <f t="shared" si="3"/>
        <v>-180175781.25</v>
      </c>
      <c r="BF24" s="80">
        <f t="shared" si="3"/>
        <v>-180175781.25</v>
      </c>
      <c r="BG24" s="80">
        <f t="shared" si="3"/>
        <v>-180175781.25</v>
      </c>
      <c r="BH24" s="80">
        <f t="shared" si="3"/>
        <v>-180175781.25</v>
      </c>
      <c r="BI24" s="81">
        <f t="shared" si="3"/>
        <v>-180175781.25</v>
      </c>
    </row>
    <row r="25" spans="1:61" ht="18" customHeight="1">
      <c r="A25" s="56"/>
      <c r="B25" s="79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1"/>
      <c r="N25" s="79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5"/>
      <c r="Z25" s="86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5"/>
      <c r="AL25" s="86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5"/>
      <c r="AX25" s="86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5"/>
    </row>
    <row r="26" spans="1:61" ht="18" customHeight="1">
      <c r="A26" s="88" t="s">
        <v>52</v>
      </c>
      <c r="B26" s="79">
        <f>Assumptions!$B$28*Assumptions!$C$23</f>
        <v>11666666.666666668</v>
      </c>
      <c r="C26" s="80">
        <f>Assumptions!$B$28*Assumptions!$C$23</f>
        <v>11666666.666666668</v>
      </c>
      <c r="D26" s="80">
        <f>Assumptions!$B$28*Assumptions!$C$23</f>
        <v>11666666.666666668</v>
      </c>
      <c r="E26" s="80">
        <f>Assumptions!$B$28*Assumptions!$C$23</f>
        <v>11666666.666666668</v>
      </c>
      <c r="F26" s="80">
        <f>Assumptions!$B$28*Assumptions!$C$23</f>
        <v>11666666.666666668</v>
      </c>
      <c r="G26" s="80">
        <f>Assumptions!$B$28*Assumptions!$C$23</f>
        <v>11666666.666666668</v>
      </c>
      <c r="H26" s="80">
        <f>Assumptions!$B$28*Assumptions!$C$23</f>
        <v>11666666.666666668</v>
      </c>
      <c r="I26" s="80">
        <f>Assumptions!$B$28*Assumptions!$C$23</f>
        <v>11666666.666666668</v>
      </c>
      <c r="J26" s="80">
        <f>Assumptions!$B$28*Assumptions!$C$23</f>
        <v>11666666.666666668</v>
      </c>
      <c r="K26" s="80">
        <f>Assumptions!$B$28*Assumptions!$C$23</f>
        <v>11666666.666666668</v>
      </c>
      <c r="L26" s="80">
        <f>Assumptions!$B$28*Assumptions!$C$23</f>
        <v>11666666.666666668</v>
      </c>
      <c r="M26" s="81">
        <f>Assumptions!$B$28*Assumptions!$C$23</f>
        <v>11666666.666666668</v>
      </c>
      <c r="N26" s="79">
        <f>Assumptions!$B$28*(Assumptions!$D$23-Assumptions!$C$23)*(1+Assumptions!$B$2)</f>
        <v>14583333.333333336</v>
      </c>
      <c r="O26" s="80">
        <f>Assumptions!$B$28*(Assumptions!$D$23-Assumptions!$C$23)*(1+Assumptions!$B$2)</f>
        <v>14583333.333333336</v>
      </c>
      <c r="P26" s="80">
        <f>Assumptions!$B$28*(Assumptions!$D$23-Assumptions!$C$23)*(1+Assumptions!$B$2)</f>
        <v>14583333.333333336</v>
      </c>
      <c r="Q26" s="80">
        <f>Assumptions!$B$28*(Assumptions!$D$23-Assumptions!$C$23)*(1+Assumptions!$B$2)</f>
        <v>14583333.333333336</v>
      </c>
      <c r="R26" s="80">
        <f>Assumptions!$B$28*(Assumptions!$D$23-Assumptions!$C$23)*(1+Assumptions!$B$2)</f>
        <v>14583333.333333336</v>
      </c>
      <c r="S26" s="80">
        <f>Assumptions!$B$28*(Assumptions!$D$23-Assumptions!$C$23)*(1+Assumptions!$B$2)</f>
        <v>14583333.333333336</v>
      </c>
      <c r="T26" s="80">
        <f>Assumptions!$B$28*(Assumptions!$D$23-Assumptions!$C$23)*(1+Assumptions!$B$2)</f>
        <v>14583333.333333336</v>
      </c>
      <c r="U26" s="80">
        <f>Assumptions!$B$28*(Assumptions!$D$23-Assumptions!$C$23)*(1+Assumptions!$B$2)</f>
        <v>14583333.333333336</v>
      </c>
      <c r="V26" s="80">
        <f>Assumptions!$B$28*(Assumptions!$D$23-Assumptions!$C$23)*(1+Assumptions!$B$2)</f>
        <v>14583333.333333336</v>
      </c>
      <c r="W26" s="80">
        <f>Assumptions!$B$28*(Assumptions!$D$23-Assumptions!$C$23)*(1+Assumptions!$B$2)</f>
        <v>14583333.333333336</v>
      </c>
      <c r="X26" s="80">
        <f>Assumptions!$B$28*(Assumptions!$D$23-Assumptions!$C$23)*(1+Assumptions!$B$2)</f>
        <v>14583333.333333336</v>
      </c>
      <c r="Y26" s="81">
        <f>Assumptions!$B$28*(Assumptions!$D$23-Assumptions!$C$23)*(1+Assumptions!$B$2)</f>
        <v>14583333.333333336</v>
      </c>
      <c r="Z26" s="79">
        <f>Assumptions!$B$28*(Assumptions!$E$23-Assumptions!$D$23)*(1+Assumptions!$B$2)^2</f>
        <v>9114583.333333334</v>
      </c>
      <c r="AA26" s="80">
        <f>Assumptions!$B$28*(Assumptions!$E$23-Assumptions!$D$23)*(1+Assumptions!$B$2)^2</f>
        <v>9114583.333333334</v>
      </c>
      <c r="AB26" s="80">
        <f>Assumptions!$B$28*(Assumptions!$E$23-Assumptions!$D$23)*(1+Assumptions!$B$2)^2</f>
        <v>9114583.333333334</v>
      </c>
      <c r="AC26" s="80">
        <f>Assumptions!$B$28*(Assumptions!$E$23-Assumptions!$D$23)*(1+Assumptions!$B$2)^2</f>
        <v>9114583.333333334</v>
      </c>
      <c r="AD26" s="80">
        <f>Assumptions!$B$28*(Assumptions!$E$23-Assumptions!$D$23)*(1+Assumptions!$B$2)^2</f>
        <v>9114583.333333334</v>
      </c>
      <c r="AE26" s="80">
        <f>Assumptions!$B$28*(Assumptions!$E$23-Assumptions!$D$23)*(1+Assumptions!$B$2)^2</f>
        <v>9114583.333333334</v>
      </c>
      <c r="AF26" s="80">
        <f>Assumptions!$B$28*(Assumptions!$E$23-Assumptions!$D$23)*(1+Assumptions!$B$2)^2</f>
        <v>9114583.333333334</v>
      </c>
      <c r="AG26" s="80">
        <f>Assumptions!$B$28*(Assumptions!$E$23-Assumptions!$D$23)*(1+Assumptions!$B$2)^2</f>
        <v>9114583.333333334</v>
      </c>
      <c r="AH26" s="80">
        <f>Assumptions!$B$28*(Assumptions!$E$23-Assumptions!$D$23)*(1+Assumptions!$B$2)^2</f>
        <v>9114583.333333334</v>
      </c>
      <c r="AI26" s="80">
        <f>Assumptions!$B$28*(Assumptions!$E$23-Assumptions!$D$23)*(1+Assumptions!$B$2)^2</f>
        <v>9114583.333333334</v>
      </c>
      <c r="AJ26" s="80">
        <f>Assumptions!$B$28*(Assumptions!$E$23-Assumptions!$D$23)*(1+Assumptions!$B$2)^2</f>
        <v>9114583.333333334</v>
      </c>
      <c r="AK26" s="81">
        <f>Assumptions!$B$28*(Assumptions!$E$23-Assumptions!$D$23)*(1+Assumptions!$B$2)^2</f>
        <v>9114583.333333334</v>
      </c>
      <c r="AL26" s="79">
        <f>Assumptions!$B$28*(Assumptions!$F$23-Assumptions!$D$23)*(1+Assumptions!$B$2)^3</f>
        <v>32552083.333333336</v>
      </c>
      <c r="AM26" s="80">
        <f>Assumptions!$B$28*(Assumptions!$F$23-Assumptions!$D$23)*(1+Assumptions!$B$2)^3</f>
        <v>32552083.333333336</v>
      </c>
      <c r="AN26" s="80">
        <f>Assumptions!$B$28*(Assumptions!$F$23-Assumptions!$D$23)*(1+Assumptions!$B$2)^3</f>
        <v>32552083.333333336</v>
      </c>
      <c r="AO26" s="80">
        <f>Assumptions!$B$28*(Assumptions!$F$23-Assumptions!$D$23)*(1+Assumptions!$B$2)^3</f>
        <v>32552083.333333336</v>
      </c>
      <c r="AP26" s="80">
        <f>Assumptions!$B$28*(Assumptions!$F$23-Assumptions!$D$23)*(1+Assumptions!$B$2)^3</f>
        <v>32552083.333333336</v>
      </c>
      <c r="AQ26" s="80">
        <f>Assumptions!$B$28*(Assumptions!$F$23-Assumptions!$D$23)*(1+Assumptions!$B$2)^3</f>
        <v>32552083.333333336</v>
      </c>
      <c r="AR26" s="80">
        <f>Assumptions!$B$28*(Assumptions!$F$23-Assumptions!$D$23)*(1+Assumptions!$B$2)^3</f>
        <v>32552083.333333336</v>
      </c>
      <c r="AS26" s="80">
        <f>Assumptions!$B$28*(Assumptions!$F$23-Assumptions!$D$23)*(1+Assumptions!$B$2)^3</f>
        <v>32552083.333333336</v>
      </c>
      <c r="AT26" s="80">
        <f>Assumptions!$B$28*(Assumptions!$F$23-Assumptions!$D$23)*(1+Assumptions!$B$2)^3</f>
        <v>32552083.333333336</v>
      </c>
      <c r="AU26" s="80">
        <f>Assumptions!$B$28*(Assumptions!$F$23-Assumptions!$D$23)*(1+Assumptions!$B$2)^3</f>
        <v>32552083.333333336</v>
      </c>
      <c r="AV26" s="80">
        <f>Assumptions!$B$28*(Assumptions!$F$23-Assumptions!$D$23)*(1+Assumptions!$B$2)^3</f>
        <v>32552083.333333336</v>
      </c>
      <c r="AW26" s="81">
        <f>Assumptions!$B$28*(Assumptions!$F$23-Assumptions!$D$23)*(1+Assumptions!$B$2)^3</f>
        <v>32552083.333333336</v>
      </c>
      <c r="AX26" s="79">
        <f>Assumptions!$B$28*(Assumptions!$G$23-Assumptions!$F$23)*(1+Assumptions!$B$2)^4</f>
        <v>69173177.083333343</v>
      </c>
      <c r="AY26" s="80">
        <f>Assumptions!$B$28*(Assumptions!$G$23-Assumptions!$F$23)*(1+Assumptions!$B$2)^4</f>
        <v>69173177.083333343</v>
      </c>
      <c r="AZ26" s="80">
        <f>Assumptions!$B$28*(Assumptions!$G$23-Assumptions!$F$23)*(1+Assumptions!$B$2)^4</f>
        <v>69173177.083333343</v>
      </c>
      <c r="BA26" s="80">
        <f>Assumptions!$B$28*(Assumptions!$G$23-Assumptions!$F$23)*(1+Assumptions!$B$2)^4</f>
        <v>69173177.083333343</v>
      </c>
      <c r="BB26" s="80">
        <f>Assumptions!$B$28*(Assumptions!$G$23-Assumptions!$F$23)*(1+Assumptions!$B$2)^4</f>
        <v>69173177.083333343</v>
      </c>
      <c r="BC26" s="80">
        <f>Assumptions!$B$28*(Assumptions!$G$23-Assumptions!$F$23)*(1+Assumptions!$B$2)^4</f>
        <v>69173177.083333343</v>
      </c>
      <c r="BD26" s="80">
        <f>Assumptions!$B$28*(Assumptions!$G$23-Assumptions!$F$23)*(1+Assumptions!$B$2)^4</f>
        <v>69173177.083333343</v>
      </c>
      <c r="BE26" s="80">
        <f>Assumptions!$B$28*(Assumptions!$G$23-Assumptions!$F$23)*(1+Assumptions!$B$2)^4</f>
        <v>69173177.083333343</v>
      </c>
      <c r="BF26" s="80">
        <f>Assumptions!$B$28*(Assumptions!$G$23-Assumptions!$F$23)*(1+Assumptions!$B$2)^4</f>
        <v>69173177.083333343</v>
      </c>
      <c r="BG26" s="80">
        <f>Assumptions!$B$28*(Assumptions!$G$23-Assumptions!$F$23)*(1+Assumptions!$B$2)^4</f>
        <v>69173177.083333343</v>
      </c>
      <c r="BH26" s="80">
        <f>Assumptions!$B$28*(Assumptions!$G$23-Assumptions!$F$23)*(1+Assumptions!$B$2)^4</f>
        <v>69173177.083333343</v>
      </c>
      <c r="BI26" s="81">
        <f>Assumptions!$B$28*(Assumptions!$G$23-Assumptions!$F$23)*(1+Assumptions!$B$2)^4</f>
        <v>69173177.083333343</v>
      </c>
    </row>
    <row r="27" spans="1:61" ht="18" customHeight="1">
      <c r="A27" s="56"/>
      <c r="B27" s="79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1"/>
      <c r="N27" s="79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5"/>
      <c r="Z27" s="86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5"/>
      <c r="AL27" s="86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5"/>
      <c r="AX27" s="86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5"/>
    </row>
    <row r="28" spans="1:61" ht="18" customHeight="1">
      <c r="A28" s="88" t="s">
        <v>54</v>
      </c>
      <c r="B28" s="79">
        <f>-B26*Assumptions!$F$3</f>
        <v>-2333333.3333333335</v>
      </c>
      <c r="C28" s="80">
        <f>-C26*Assumptions!$F$3</f>
        <v>-2333333.3333333335</v>
      </c>
      <c r="D28" s="80">
        <f>-D26*Assumptions!$F$3</f>
        <v>-2333333.3333333335</v>
      </c>
      <c r="E28" s="80">
        <f>-E26*Assumptions!$F$3</f>
        <v>-2333333.3333333335</v>
      </c>
      <c r="F28" s="80">
        <f>-F26*Assumptions!$F$3</f>
        <v>-2333333.3333333335</v>
      </c>
      <c r="G28" s="80">
        <f>-G26*Assumptions!$F$3</f>
        <v>-2333333.3333333335</v>
      </c>
      <c r="H28" s="80">
        <f>-H26*Assumptions!$F$3</f>
        <v>-2333333.3333333335</v>
      </c>
      <c r="I28" s="80">
        <f>-I26*Assumptions!$F$3</f>
        <v>-2333333.3333333335</v>
      </c>
      <c r="J28" s="80">
        <f>-J26*Assumptions!$F$3</f>
        <v>-2333333.3333333335</v>
      </c>
      <c r="K28" s="80">
        <f>-K26*Assumptions!$F$3</f>
        <v>-2333333.3333333335</v>
      </c>
      <c r="L28" s="80">
        <f>-L26*Assumptions!$F$3</f>
        <v>-2333333.3333333335</v>
      </c>
      <c r="M28" s="81">
        <f>-M26*Assumptions!$F$3</f>
        <v>-2333333.3333333335</v>
      </c>
      <c r="N28" s="79">
        <f>-N26*Assumptions!$F$3</f>
        <v>-2916666.6666666674</v>
      </c>
      <c r="O28" s="80">
        <f>-O26*Assumptions!$F$3</f>
        <v>-2916666.6666666674</v>
      </c>
      <c r="P28" s="80">
        <f>-P26*Assumptions!$F$3</f>
        <v>-2916666.6666666674</v>
      </c>
      <c r="Q28" s="80">
        <f>-Q26*Assumptions!$F$3</f>
        <v>-2916666.6666666674</v>
      </c>
      <c r="R28" s="80">
        <f>-R26*Assumptions!$F$3</f>
        <v>-2916666.6666666674</v>
      </c>
      <c r="S28" s="80">
        <f>-S26*Assumptions!$F$3</f>
        <v>-2916666.6666666674</v>
      </c>
      <c r="T28" s="80">
        <f>-T26*Assumptions!$F$3</f>
        <v>-2916666.6666666674</v>
      </c>
      <c r="U28" s="80">
        <f>-U26*Assumptions!$F$3</f>
        <v>-2916666.6666666674</v>
      </c>
      <c r="V28" s="80">
        <f>-V26*Assumptions!$F$3</f>
        <v>-2916666.6666666674</v>
      </c>
      <c r="W28" s="80">
        <f>-W26*Assumptions!$F$3</f>
        <v>-2916666.6666666674</v>
      </c>
      <c r="X28" s="80">
        <f>-X26*Assumptions!$F$3</f>
        <v>-2916666.6666666674</v>
      </c>
      <c r="Y28" s="81">
        <f>-Y26*Assumptions!$F$3</f>
        <v>-2916666.6666666674</v>
      </c>
      <c r="Z28" s="79">
        <f>-Z26*Assumptions!$F$3</f>
        <v>-1822916.666666667</v>
      </c>
      <c r="AA28" s="80">
        <f>-AA26*Assumptions!$F$3</f>
        <v>-1822916.666666667</v>
      </c>
      <c r="AB28" s="80">
        <f>-AB26*Assumptions!$F$3</f>
        <v>-1822916.666666667</v>
      </c>
      <c r="AC28" s="80">
        <f>-AC26*Assumptions!$F$3</f>
        <v>-1822916.666666667</v>
      </c>
      <c r="AD28" s="80">
        <f>-AD26*Assumptions!$F$3</f>
        <v>-1822916.666666667</v>
      </c>
      <c r="AE28" s="80">
        <f>-AE26*Assumptions!$F$3</f>
        <v>-1822916.666666667</v>
      </c>
      <c r="AF28" s="80">
        <f>-AF26*Assumptions!$F$3</f>
        <v>-1822916.666666667</v>
      </c>
      <c r="AG28" s="80">
        <f>-AG26*Assumptions!$F$3</f>
        <v>-1822916.666666667</v>
      </c>
      <c r="AH28" s="80">
        <f>-AH26*Assumptions!$F$3</f>
        <v>-1822916.666666667</v>
      </c>
      <c r="AI28" s="80">
        <f>-AI26*Assumptions!$F$3</f>
        <v>-1822916.666666667</v>
      </c>
      <c r="AJ28" s="80">
        <f>-AJ26*Assumptions!$F$3</f>
        <v>-1822916.666666667</v>
      </c>
      <c r="AK28" s="81">
        <f>-AK26*Assumptions!$F$3</f>
        <v>-1822916.666666667</v>
      </c>
      <c r="AL28" s="79">
        <f>-AL26*Assumptions!$F$3</f>
        <v>-6510416.6666666679</v>
      </c>
      <c r="AM28" s="80">
        <f>-AM26*Assumptions!$F$3</f>
        <v>-6510416.6666666679</v>
      </c>
      <c r="AN28" s="80">
        <f>-AN26*Assumptions!$F$3</f>
        <v>-6510416.6666666679</v>
      </c>
      <c r="AO28" s="80">
        <f>-AO26*Assumptions!$F$3</f>
        <v>-6510416.6666666679</v>
      </c>
      <c r="AP28" s="80">
        <f>-AP26*Assumptions!$F$3</f>
        <v>-6510416.6666666679</v>
      </c>
      <c r="AQ28" s="80">
        <f>-AQ26*Assumptions!$F$3</f>
        <v>-6510416.6666666679</v>
      </c>
      <c r="AR28" s="80">
        <f>-AR26*Assumptions!$F$3</f>
        <v>-6510416.6666666679</v>
      </c>
      <c r="AS28" s="80">
        <f>-AS26*Assumptions!$F$3</f>
        <v>-6510416.6666666679</v>
      </c>
      <c r="AT28" s="80">
        <f>-AT26*Assumptions!$F$3</f>
        <v>-6510416.6666666679</v>
      </c>
      <c r="AU28" s="80">
        <f>-AU26*Assumptions!$F$3</f>
        <v>-6510416.6666666679</v>
      </c>
      <c r="AV28" s="80">
        <f>-AV26*Assumptions!$F$3</f>
        <v>-6510416.6666666679</v>
      </c>
      <c r="AW28" s="81">
        <f>-AW26*Assumptions!$F$3</f>
        <v>-6510416.6666666679</v>
      </c>
      <c r="AX28" s="79">
        <f>-AX26*Assumptions!$F$3</f>
        <v>-13834635.41666667</v>
      </c>
      <c r="AY28" s="80">
        <f>-AY26*Assumptions!$F$3</f>
        <v>-13834635.41666667</v>
      </c>
      <c r="AZ28" s="80">
        <f>-AZ26*Assumptions!$F$3</f>
        <v>-13834635.41666667</v>
      </c>
      <c r="BA28" s="80">
        <f>-BA26*Assumptions!$F$3</f>
        <v>-13834635.41666667</v>
      </c>
      <c r="BB28" s="80">
        <f>-BB26*Assumptions!$F$3</f>
        <v>-13834635.41666667</v>
      </c>
      <c r="BC28" s="80">
        <f>-BC26*Assumptions!$F$3</f>
        <v>-13834635.41666667</v>
      </c>
      <c r="BD28" s="80">
        <f>-BD26*Assumptions!$F$3</f>
        <v>-13834635.41666667</v>
      </c>
      <c r="BE28" s="80">
        <f>-BE26*Assumptions!$F$3</f>
        <v>-13834635.41666667</v>
      </c>
      <c r="BF28" s="80">
        <f>-BF26*Assumptions!$F$3</f>
        <v>-13834635.41666667</v>
      </c>
      <c r="BG28" s="80">
        <f>-BG26*Assumptions!$F$3</f>
        <v>-13834635.41666667</v>
      </c>
      <c r="BH28" s="80">
        <f>-BH26*Assumptions!$F$3</f>
        <v>-13834635.41666667</v>
      </c>
      <c r="BI28" s="81">
        <f>-BI26*Assumptions!$F$3</f>
        <v>-13834635.41666667</v>
      </c>
    </row>
    <row r="29" spans="1:61" ht="18" customHeight="1">
      <c r="A29" s="88" t="s">
        <v>55</v>
      </c>
      <c r="B29" s="79">
        <f>B6+SUM(B14,B19,B24,B28)</f>
        <v>-246328100.55667087</v>
      </c>
      <c r="C29" s="80">
        <f t="shared" ref="C29:BH29" si="4">C6+SUM(C14,C19,C24,C28)</f>
        <v>-244687063.3763113</v>
      </c>
      <c r="D29" s="80">
        <f t="shared" si="4"/>
        <v>-242909776.69877905</v>
      </c>
      <c r="E29" s="80">
        <f t="shared" si="4"/>
        <v>-240984928.21153039</v>
      </c>
      <c r="F29" s="80">
        <f t="shared" si="4"/>
        <v>-238900266.38083041</v>
      </c>
      <c r="G29" s="80">
        <f t="shared" si="4"/>
        <v>-236642522.47154778</v>
      </c>
      <c r="H29" s="80">
        <f t="shared" si="4"/>
        <v>-234197326.09253058</v>
      </c>
      <c r="I29" s="80">
        <f t="shared" si="4"/>
        <v>-231549113.730014</v>
      </c>
      <c r="J29" s="80">
        <f t="shared" si="4"/>
        <v>-228681029.68688118</v>
      </c>
      <c r="K29" s="80">
        <f t="shared" si="4"/>
        <v>-225574818.79726177</v>
      </c>
      <c r="L29" s="80">
        <f t="shared" si="4"/>
        <v>-222210710.23360544</v>
      </c>
      <c r="M29" s="81">
        <f t="shared" si="4"/>
        <v>-218567291.66666669</v>
      </c>
      <c r="N29" s="79">
        <f t="shared" si="4"/>
        <v>-638622297.41896915</v>
      </c>
      <c r="O29" s="80">
        <f t="shared" si="4"/>
        <v>-627224236.99082518</v>
      </c>
      <c r="P29" s="80">
        <f t="shared" si="4"/>
        <v>-613919306.20577323</v>
      </c>
      <c r="Q29" s="80">
        <f t="shared" si="4"/>
        <v>-598388489.86109734</v>
      </c>
      <c r="R29" s="80">
        <f t="shared" si="4"/>
        <v>-580259402.21465552</v>
      </c>
      <c r="S29" s="80">
        <f t="shared" si="4"/>
        <v>-559097358.21140885</v>
      </c>
      <c r="T29" s="80">
        <f t="shared" si="4"/>
        <v>-534394950.94585359</v>
      </c>
      <c r="U29" s="80">
        <f t="shared" si="4"/>
        <v>-505559885.45691836</v>
      </c>
      <c r="V29" s="80">
        <f t="shared" si="4"/>
        <v>-471900777.14359349</v>
      </c>
      <c r="W29" s="80">
        <f t="shared" si="4"/>
        <v>-432610574.28683656</v>
      </c>
      <c r="X29" s="80">
        <f t="shared" si="4"/>
        <v>-386747207.19597429</v>
      </c>
      <c r="Y29" s="81">
        <f t="shared" si="4"/>
        <v>-333211000.00000006</v>
      </c>
      <c r="Z29" s="79">
        <f t="shared" si="4"/>
        <v>-389467337.55300438</v>
      </c>
      <c r="AA29" s="80">
        <f t="shared" si="4"/>
        <v>-338854868.75216067</v>
      </c>
      <c r="AB29" s="80">
        <f t="shared" si="4"/>
        <v>-283201043.00943577</v>
      </c>
      <c r="AC29" s="80">
        <f t="shared" si="4"/>
        <v>-222003705.80801606</v>
      </c>
      <c r="AD29" s="80">
        <f t="shared" si="4"/>
        <v>-154710684.51857007</v>
      </c>
      <c r="AE29" s="80">
        <f t="shared" si="4"/>
        <v>-80714806.244363904</v>
      </c>
      <c r="AF29" s="80">
        <f t="shared" si="4"/>
        <v>651580.59120368958</v>
      </c>
      <c r="AG29" s="80">
        <f t="shared" si="4"/>
        <v>90122630.34537673</v>
      </c>
      <c r="AH29" s="80">
        <f t="shared" si="4"/>
        <v>188505624.29951477</v>
      </c>
      <c r="AI29" s="80">
        <f t="shared" si="4"/>
        <v>296688254.61372423</v>
      </c>
      <c r="AJ29" s="80">
        <f t="shared" si="4"/>
        <v>415646633.81446886</v>
      </c>
      <c r="AK29" s="81">
        <f t="shared" si="4"/>
        <v>546454102.08333325</v>
      </c>
      <c r="AL29" s="79">
        <f t="shared" si="4"/>
        <v>730367875.79960847</v>
      </c>
      <c r="AM29" s="80">
        <f t="shared" si="4"/>
        <v>813640286.35346389</v>
      </c>
      <c r="AN29" s="80">
        <f t="shared" si="4"/>
        <v>900591752.67268181</v>
      </c>
      <c r="AO29" s="80">
        <f t="shared" si="4"/>
        <v>991384819.00492525</v>
      </c>
      <c r="AP29" s="80">
        <f t="shared" si="4"/>
        <v>1086189210.9601786</v>
      </c>
      <c r="AQ29" s="80">
        <f t="shared" si="4"/>
        <v>1185182152.7902925</v>
      </c>
      <c r="AR29" s="80">
        <f t="shared" si="4"/>
        <v>1288548698.6862404</v>
      </c>
      <c r="AS29" s="80">
        <f t="shared" si="4"/>
        <v>1396482078.7124202</v>
      </c>
      <c r="AT29" s="80">
        <f t="shared" si="4"/>
        <v>1509184060.0246594</v>
      </c>
      <c r="AU29" s="80">
        <f t="shared" si="4"/>
        <v>1626865324.0471818</v>
      </c>
      <c r="AV29" s="80">
        <f t="shared" si="4"/>
        <v>1749745860.3136265</v>
      </c>
      <c r="AW29" s="81">
        <f t="shared" si="4"/>
        <v>1878055377.7083333</v>
      </c>
      <c r="AX29" s="79">
        <f t="shared" si="4"/>
        <v>2288926596.9676332</v>
      </c>
      <c r="AY29" s="80">
        <f t="shared" si="4"/>
        <v>2343944369.3098855</v>
      </c>
      <c r="AZ29" s="80">
        <f t="shared" si="4"/>
        <v>2399767355.0537286</v>
      </c>
      <c r="BA29" s="80">
        <f t="shared" si="4"/>
        <v>2456407338.9115329</v>
      </c>
      <c r="BB29" s="80">
        <f t="shared" si="4"/>
        <v>2513876278.070991</v>
      </c>
      <c r="BC29" s="80">
        <f t="shared" si="4"/>
        <v>2572186304.7193913</v>
      </c>
      <c r="BD29" s="80">
        <f t="shared" si="4"/>
        <v>2631349728.6048236</v>
      </c>
      <c r="BE29" s="80">
        <f t="shared" si="4"/>
        <v>2691379039.6348739</v>
      </c>
      <c r="BF29" s="80">
        <f t="shared" si="4"/>
        <v>2752286910.5133519</v>
      </c>
      <c r="BG29" s="80">
        <f t="shared" si="4"/>
        <v>2814086199.4156046</v>
      </c>
      <c r="BH29" s="80">
        <f t="shared" si="4"/>
        <v>2876789952.7029924</v>
      </c>
      <c r="BI29" s="81">
        <f>BI6+SUM(BI14,BI19,BI24,BI28)</f>
        <v>2940411407.6770825</v>
      </c>
    </row>
    <row r="30" spans="1:61" ht="18" customHeight="1">
      <c r="A30" s="88" t="s">
        <v>48</v>
      </c>
      <c r="B30" s="79">
        <f>IF(B29&gt;=0,-B29*Assumptions!$F$2,0)</f>
        <v>0</v>
      </c>
      <c r="C30" s="80">
        <f>IF(C29&gt;=0,-C29*Assumptions!$F$2,0)</f>
        <v>0</v>
      </c>
      <c r="D30" s="80">
        <f>IF(D29&gt;=0,-D29*Assumptions!$F$2,0)</f>
        <v>0</v>
      </c>
      <c r="E30" s="80">
        <f>IF(E29&gt;=0,-E29*Assumptions!$F$2,0)</f>
        <v>0</v>
      </c>
      <c r="F30" s="80">
        <f>IF(F29&gt;=0,-F29*Assumptions!$F$2,0)</f>
        <v>0</v>
      </c>
      <c r="G30" s="80">
        <f>IF(G29&gt;=0,-G29*Assumptions!$F$2,0)</f>
        <v>0</v>
      </c>
      <c r="H30" s="80">
        <f>IF(H29&gt;=0,-H29*Assumptions!$F$2,0)</f>
        <v>0</v>
      </c>
      <c r="I30" s="80">
        <f>IF(I29&gt;=0,-I29*Assumptions!$F$2,0)</f>
        <v>0</v>
      </c>
      <c r="J30" s="80">
        <f>IF(J29&gt;=0,-J29*Assumptions!$F$2,0)</f>
        <v>0</v>
      </c>
      <c r="K30" s="80">
        <f>IF(K29&gt;=0,-K29*Assumptions!$F$2,0)</f>
        <v>0</v>
      </c>
      <c r="L30" s="80">
        <f>IF(L29&gt;=0,-L29*Assumptions!$F$2,0)</f>
        <v>0</v>
      </c>
      <c r="M30" s="81">
        <f>IF(M29&gt;=0,-M29*Assumptions!$F$2,0)</f>
        <v>0</v>
      </c>
      <c r="N30" s="79">
        <f>IF(N29&gt;=0,-N29*Assumptions!$F$2,0)</f>
        <v>0</v>
      </c>
      <c r="O30" s="80">
        <f>IF(O29&gt;=0,-O29*Assumptions!$F$2,0)</f>
        <v>0</v>
      </c>
      <c r="P30" s="80">
        <f>IF(P29&gt;=0,-P29*Assumptions!$F$2,0)</f>
        <v>0</v>
      </c>
      <c r="Q30" s="80">
        <f>IF(Q29&gt;=0,-Q29*Assumptions!$F$2,0)</f>
        <v>0</v>
      </c>
      <c r="R30" s="80">
        <f>IF(R29&gt;=0,-R29*Assumptions!$F$2,0)</f>
        <v>0</v>
      </c>
      <c r="S30" s="80">
        <f>IF(S29&gt;=0,-S29*Assumptions!$F$2,0)</f>
        <v>0</v>
      </c>
      <c r="T30" s="80">
        <f>IF(T29&gt;=0,-T29*Assumptions!$F$2,0)</f>
        <v>0</v>
      </c>
      <c r="U30" s="80">
        <f>IF(U29&gt;=0,-U29*Assumptions!$F$2,0)</f>
        <v>0</v>
      </c>
      <c r="V30" s="80">
        <f>IF(V29&gt;=0,-V29*Assumptions!$F$2,0)</f>
        <v>0</v>
      </c>
      <c r="W30" s="80">
        <f>IF(W29&gt;=0,-W29*Assumptions!$F$2,0)</f>
        <v>0</v>
      </c>
      <c r="X30" s="80">
        <f>IF(X29&gt;=0,-X29*Assumptions!$F$2,0)</f>
        <v>0</v>
      </c>
      <c r="Y30" s="81">
        <f>IF(Y29&gt;=0,-Y29*Assumptions!$F$2,0)</f>
        <v>0</v>
      </c>
      <c r="Z30" s="79">
        <f>IF(Z29&gt;=0,-Z29*Assumptions!$F$2,0)</f>
        <v>0</v>
      </c>
      <c r="AA30" s="80">
        <f>IF(AA29&gt;=0,-AA29*Assumptions!$F$2,0)</f>
        <v>0</v>
      </c>
      <c r="AB30" s="80">
        <f>IF(AB29&gt;=0,-AB29*Assumptions!$F$2,0)</f>
        <v>0</v>
      </c>
      <c r="AC30" s="80">
        <f>IF(AC29&gt;=0,-AC29*Assumptions!$F$2,0)</f>
        <v>0</v>
      </c>
      <c r="AD30" s="80">
        <f>IF(AD29&gt;=0,-AD29*Assumptions!$F$2,0)</f>
        <v>0</v>
      </c>
      <c r="AE30" s="80">
        <f>IF(AE29&gt;=0,-AE29*Assumptions!$F$2,0)</f>
        <v>0</v>
      </c>
      <c r="AF30" s="80">
        <f>IF(AF29&gt;=0,-AF29*Assumptions!$F$2,0)</f>
        <v>-162895.14780092239</v>
      </c>
      <c r="AG30" s="80">
        <f>IF(AG29&gt;=0,-AG29*Assumptions!$F$2,0)</f>
        <v>-22530657.586344182</v>
      </c>
      <c r="AH30" s="80">
        <f>IF(AH29&gt;=0,-AH29*Assumptions!$F$2,0)</f>
        <v>-47126406.074878693</v>
      </c>
      <c r="AI30" s="80">
        <f>IF(AI29&gt;=0,-AI29*Assumptions!$F$2,0)</f>
        <v>-74172063.653431058</v>
      </c>
      <c r="AJ30" s="80">
        <f>IF(AJ29&gt;=0,-AJ29*Assumptions!$F$2,0)</f>
        <v>-103911658.45361722</v>
      </c>
      <c r="AK30" s="81">
        <f>IF(AK29&gt;=0,-AK29*Assumptions!$F$2,0)</f>
        <v>-136613525.52083331</v>
      </c>
      <c r="AL30" s="79">
        <f>IF(AL29&gt;=0,-AL29*Assumptions!$F$2,0)</f>
        <v>-182591968.94990212</v>
      </c>
      <c r="AM30" s="80">
        <f>IF(AM29&gt;=0,-AM29*Assumptions!$F$2,0)</f>
        <v>-203410071.58836597</v>
      </c>
      <c r="AN30" s="80">
        <f>IF(AN29&gt;=0,-AN29*Assumptions!$F$2,0)</f>
        <v>-225147938.16817045</v>
      </c>
      <c r="AO30" s="80">
        <f>IF(AO29&gt;=0,-AO29*Assumptions!$F$2,0)</f>
        <v>-247846204.75123131</v>
      </c>
      <c r="AP30" s="80">
        <f>IF(AP29&gt;=0,-AP29*Assumptions!$F$2,0)</f>
        <v>-271547302.74004465</v>
      </c>
      <c r="AQ30" s="80">
        <f>IF(AQ29&gt;=0,-AQ29*Assumptions!$F$2,0)</f>
        <v>-296295538.19757313</v>
      </c>
      <c r="AR30" s="80">
        <f>IF(AR29&gt;=0,-AR29*Assumptions!$F$2,0)</f>
        <v>-322137174.67156011</v>
      </c>
      <c r="AS30" s="80">
        <f>IF(AS29&gt;=0,-AS29*Assumptions!$F$2,0)</f>
        <v>-349120519.67810506</v>
      </c>
      <c r="AT30" s="80">
        <f>IF(AT29&gt;=0,-AT29*Assumptions!$F$2,0)</f>
        <v>-377296015.00616485</v>
      </c>
      <c r="AU30" s="80">
        <f>IF(AU29&gt;=0,-AU29*Assumptions!$F$2,0)</f>
        <v>-406716331.01179546</v>
      </c>
      <c r="AV30" s="80">
        <f>IF(AV29&gt;=0,-AV29*Assumptions!$F$2,0)</f>
        <v>-437436465.07840663</v>
      </c>
      <c r="AW30" s="81">
        <f>IF(AW29&gt;=0,-AW29*Assumptions!$F$2,0)</f>
        <v>-469513844.42708331</v>
      </c>
      <c r="AX30" s="79">
        <f>IF(AX29&gt;=0,-AX29*Assumptions!$F$2,0)</f>
        <v>-572231649.24190831</v>
      </c>
      <c r="AY30" s="80">
        <f>IF(AY29&gt;=0,-AY29*Assumptions!$F$2,0)</f>
        <v>-585986092.32747138</v>
      </c>
      <c r="AZ30" s="80">
        <f>IF(AZ29&gt;=0,-AZ29*Assumptions!$F$2,0)</f>
        <v>-599941838.76343215</v>
      </c>
      <c r="BA30" s="80">
        <f>IF(BA29&gt;=0,-BA29*Assumptions!$F$2,0)</f>
        <v>-614101834.72788322</v>
      </c>
      <c r="BB30" s="80">
        <f>IF(BB29&gt;=0,-BB29*Assumptions!$F$2,0)</f>
        <v>-628469069.51774776</v>
      </c>
      <c r="BC30" s="80">
        <f>IF(BC29&gt;=0,-BC29*Assumptions!$F$2,0)</f>
        <v>-643046576.17984784</v>
      </c>
      <c r="BD30" s="80">
        <f>IF(BD29&gt;=0,-BD29*Assumptions!$F$2,0)</f>
        <v>-657837432.1512059</v>
      </c>
      <c r="BE30" s="80">
        <f>IF(BE29&gt;=0,-BE29*Assumptions!$F$2,0)</f>
        <v>-672844759.90871847</v>
      </c>
      <c r="BF30" s="80">
        <f>IF(BF29&gt;=0,-BF29*Assumptions!$F$2,0)</f>
        <v>-688071727.62833798</v>
      </c>
      <c r="BG30" s="80">
        <f>IF(BG29&gt;=0,-BG29*Assumptions!$F$2,0)</f>
        <v>-703521549.85390115</v>
      </c>
      <c r="BH30" s="80">
        <f>IF(BH29&gt;=0,-BH29*Assumptions!$F$2,0)</f>
        <v>-719197488.17574811</v>
      </c>
      <c r="BI30" s="81">
        <f>IF(BI29&gt;=0,-BI29*Assumptions!$F$2,0)</f>
        <v>-735102851.91927063</v>
      </c>
    </row>
    <row r="31" spans="1:61" ht="18" customHeight="1">
      <c r="A31" s="88" t="s">
        <v>56</v>
      </c>
      <c r="B31" s="79">
        <f>B29+B30</f>
        <v>-246328100.55667087</v>
      </c>
      <c r="C31" s="80">
        <f t="shared" ref="C31:BI31" si="5">C29+C30</f>
        <v>-244687063.3763113</v>
      </c>
      <c r="D31" s="80">
        <f t="shared" si="5"/>
        <v>-242909776.69877905</v>
      </c>
      <c r="E31" s="80">
        <f t="shared" si="5"/>
        <v>-240984928.21153039</v>
      </c>
      <c r="F31" s="80">
        <f t="shared" si="5"/>
        <v>-238900266.38083041</v>
      </c>
      <c r="G31" s="80">
        <f t="shared" si="5"/>
        <v>-236642522.47154778</v>
      </c>
      <c r="H31" s="80">
        <f t="shared" si="5"/>
        <v>-234197326.09253058</v>
      </c>
      <c r="I31" s="80">
        <f t="shared" si="5"/>
        <v>-231549113.730014</v>
      </c>
      <c r="J31" s="80">
        <f t="shared" si="5"/>
        <v>-228681029.68688118</v>
      </c>
      <c r="K31" s="80">
        <f t="shared" si="5"/>
        <v>-225574818.79726177</v>
      </c>
      <c r="L31" s="80">
        <f t="shared" si="5"/>
        <v>-222210710.23360544</v>
      </c>
      <c r="M31" s="81">
        <f t="shared" si="5"/>
        <v>-218567291.66666669</v>
      </c>
      <c r="N31" s="79">
        <f t="shared" si="5"/>
        <v>-638622297.41896915</v>
      </c>
      <c r="O31" s="80">
        <f t="shared" si="5"/>
        <v>-627224236.99082518</v>
      </c>
      <c r="P31" s="80">
        <f t="shared" si="5"/>
        <v>-613919306.20577323</v>
      </c>
      <c r="Q31" s="80">
        <f t="shared" si="5"/>
        <v>-598388489.86109734</v>
      </c>
      <c r="R31" s="80">
        <f t="shared" si="5"/>
        <v>-580259402.21465552</v>
      </c>
      <c r="S31" s="80">
        <f t="shared" si="5"/>
        <v>-559097358.21140885</v>
      </c>
      <c r="T31" s="80">
        <f t="shared" si="5"/>
        <v>-534394950.94585359</v>
      </c>
      <c r="U31" s="80">
        <f t="shared" si="5"/>
        <v>-505559885.45691836</v>
      </c>
      <c r="V31" s="80">
        <f t="shared" si="5"/>
        <v>-471900777.14359349</v>
      </c>
      <c r="W31" s="80">
        <f t="shared" si="5"/>
        <v>-432610574.28683656</v>
      </c>
      <c r="X31" s="80">
        <f t="shared" si="5"/>
        <v>-386747207.19597429</v>
      </c>
      <c r="Y31" s="81">
        <f t="shared" si="5"/>
        <v>-333211000.00000006</v>
      </c>
      <c r="Z31" s="79">
        <f t="shared" si="5"/>
        <v>-389467337.55300438</v>
      </c>
      <c r="AA31" s="80">
        <f t="shared" si="5"/>
        <v>-338854868.75216067</v>
      </c>
      <c r="AB31" s="80">
        <f t="shared" si="5"/>
        <v>-283201043.00943577</v>
      </c>
      <c r="AC31" s="80">
        <f t="shared" si="5"/>
        <v>-222003705.80801606</v>
      </c>
      <c r="AD31" s="80">
        <f t="shared" si="5"/>
        <v>-154710684.51857007</v>
      </c>
      <c r="AE31" s="80">
        <f t="shared" si="5"/>
        <v>-80714806.244363904</v>
      </c>
      <c r="AF31" s="80">
        <f t="shared" si="5"/>
        <v>488685.44340276718</v>
      </c>
      <c r="AG31" s="80">
        <f t="shared" si="5"/>
        <v>67591972.759032547</v>
      </c>
      <c r="AH31" s="80">
        <f t="shared" si="5"/>
        <v>141379218.22463608</v>
      </c>
      <c r="AI31" s="80">
        <f t="shared" si="5"/>
        <v>222516190.96029317</v>
      </c>
      <c r="AJ31" s="80">
        <f t="shared" si="5"/>
        <v>311734975.36085165</v>
      </c>
      <c r="AK31" s="81">
        <f t="shared" si="5"/>
        <v>409840576.56249994</v>
      </c>
      <c r="AL31" s="79">
        <f t="shared" si="5"/>
        <v>547775906.84970641</v>
      </c>
      <c r="AM31" s="80">
        <f t="shared" si="5"/>
        <v>610230214.76509786</v>
      </c>
      <c r="AN31" s="80">
        <f t="shared" si="5"/>
        <v>675443814.50451136</v>
      </c>
      <c r="AO31" s="80">
        <f t="shared" si="5"/>
        <v>743538614.25369394</v>
      </c>
      <c r="AP31" s="80">
        <f t="shared" si="5"/>
        <v>814641908.22013402</v>
      </c>
      <c r="AQ31" s="80">
        <f t="shared" si="5"/>
        <v>888886614.59271932</v>
      </c>
      <c r="AR31" s="80">
        <f t="shared" si="5"/>
        <v>966411524.01468039</v>
      </c>
      <c r="AS31" s="80">
        <f t="shared" si="5"/>
        <v>1047361559.0343151</v>
      </c>
      <c r="AT31" s="80">
        <f t="shared" si="5"/>
        <v>1131888045.0184946</v>
      </c>
      <c r="AU31" s="80">
        <f t="shared" si="5"/>
        <v>1220148993.0353863</v>
      </c>
      <c r="AV31" s="80">
        <f t="shared" si="5"/>
        <v>1312309395.23522</v>
      </c>
      <c r="AW31" s="81">
        <f t="shared" si="5"/>
        <v>1408541533.28125</v>
      </c>
      <c r="AX31" s="79">
        <f t="shared" si="5"/>
        <v>1716694947.7257249</v>
      </c>
      <c r="AY31" s="80">
        <f t="shared" si="5"/>
        <v>1757958276.9824142</v>
      </c>
      <c r="AZ31" s="80">
        <f t="shared" si="5"/>
        <v>1799825516.2902966</v>
      </c>
      <c r="BA31" s="80">
        <f t="shared" si="5"/>
        <v>1842305504.1836495</v>
      </c>
      <c r="BB31" s="80">
        <f t="shared" si="5"/>
        <v>1885407208.5532432</v>
      </c>
      <c r="BC31" s="80">
        <f t="shared" si="5"/>
        <v>1929139728.5395436</v>
      </c>
      <c r="BD31" s="80">
        <f t="shared" si="5"/>
        <v>1973512296.4536176</v>
      </c>
      <c r="BE31" s="80">
        <f t="shared" si="5"/>
        <v>2018534279.7261553</v>
      </c>
      <c r="BF31" s="80">
        <f t="shared" si="5"/>
        <v>2064215182.8850141</v>
      </c>
      <c r="BG31" s="80">
        <f t="shared" si="5"/>
        <v>2110564649.5617034</v>
      </c>
      <c r="BH31" s="80">
        <f t="shared" si="5"/>
        <v>2157592464.5272446</v>
      </c>
      <c r="BI31" s="81">
        <f t="shared" si="5"/>
        <v>2205308555.757812</v>
      </c>
    </row>
    <row r="32" spans="1:61" ht="18" customHeight="1">
      <c r="A32" s="56"/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1"/>
      <c r="N32" s="79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5"/>
      <c r="Z32" s="86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5"/>
      <c r="AL32" s="86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5"/>
      <c r="AX32" s="86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5"/>
    </row>
    <row r="33" spans="1:61" ht="18" customHeight="1">
      <c r="A33" s="88" t="s">
        <v>57</v>
      </c>
      <c r="B33" s="82">
        <f>B31-B28-B26</f>
        <v>-255661433.89000419</v>
      </c>
      <c r="C33" s="83">
        <f t="shared" ref="C33:BI33" si="6">C31-C28-C26</f>
        <v>-254020396.70964462</v>
      </c>
      <c r="D33" s="83">
        <f t="shared" si="6"/>
        <v>-252243110.03211236</v>
      </c>
      <c r="E33" s="83">
        <f t="shared" si="6"/>
        <v>-250318261.5448637</v>
      </c>
      <c r="F33" s="83">
        <f t="shared" si="6"/>
        <v>-248233599.71416372</v>
      </c>
      <c r="G33" s="83">
        <f t="shared" si="6"/>
        <v>-245975855.8048811</v>
      </c>
      <c r="H33" s="83">
        <f t="shared" si="6"/>
        <v>-243530659.42586389</v>
      </c>
      <c r="I33" s="83">
        <f t="shared" si="6"/>
        <v>-240882447.06334731</v>
      </c>
      <c r="J33" s="83">
        <f t="shared" si="6"/>
        <v>-238014363.0202145</v>
      </c>
      <c r="K33" s="83">
        <f t="shared" si="6"/>
        <v>-234908152.13059509</v>
      </c>
      <c r="L33" s="83">
        <f t="shared" si="6"/>
        <v>-231544043.56693876</v>
      </c>
      <c r="M33" s="84">
        <f t="shared" si="6"/>
        <v>-227900625</v>
      </c>
      <c r="N33" s="82">
        <f t="shared" si="6"/>
        <v>-650288964.0856359</v>
      </c>
      <c r="O33" s="83">
        <f t="shared" si="6"/>
        <v>-638890903.65749192</v>
      </c>
      <c r="P33" s="83">
        <f t="shared" si="6"/>
        <v>-625585972.87243998</v>
      </c>
      <c r="Q33" s="83">
        <f t="shared" si="6"/>
        <v>-610055156.52776408</v>
      </c>
      <c r="R33" s="83">
        <f t="shared" si="6"/>
        <v>-591926068.88132226</v>
      </c>
      <c r="S33" s="83">
        <f t="shared" si="6"/>
        <v>-570764024.8780756</v>
      </c>
      <c r="T33" s="83">
        <f t="shared" si="6"/>
        <v>-546061617.61252022</v>
      </c>
      <c r="U33" s="83">
        <f t="shared" si="6"/>
        <v>-517226552.12358499</v>
      </c>
      <c r="V33" s="83">
        <f t="shared" si="6"/>
        <v>-483567443.81026012</v>
      </c>
      <c r="W33" s="83">
        <f t="shared" si="6"/>
        <v>-444277240.95350319</v>
      </c>
      <c r="X33" s="83">
        <f t="shared" si="6"/>
        <v>-398413873.86264092</v>
      </c>
      <c r="Y33" s="84">
        <f t="shared" si="6"/>
        <v>-344877666.66666669</v>
      </c>
      <c r="Z33" s="82">
        <f t="shared" si="6"/>
        <v>-396759004.21967101</v>
      </c>
      <c r="AA33" s="83">
        <f t="shared" si="6"/>
        <v>-346146535.4188273</v>
      </c>
      <c r="AB33" s="83">
        <f t="shared" si="6"/>
        <v>-290492709.6761024</v>
      </c>
      <c r="AC33" s="83">
        <f t="shared" si="6"/>
        <v>-229295372.47468275</v>
      </c>
      <c r="AD33" s="83">
        <f t="shared" si="6"/>
        <v>-162002351.18523675</v>
      </c>
      <c r="AE33" s="83">
        <f t="shared" si="6"/>
        <v>-88006472.911030561</v>
      </c>
      <c r="AF33" s="83">
        <f t="shared" si="6"/>
        <v>-6802981.2232638998</v>
      </c>
      <c r="AG33" s="83">
        <f t="shared" si="6"/>
        <v>60300306.092365883</v>
      </c>
      <c r="AH33" s="83">
        <f t="shared" si="6"/>
        <v>134087551.55796941</v>
      </c>
      <c r="AI33" s="83">
        <f t="shared" si="6"/>
        <v>215224524.29362649</v>
      </c>
      <c r="AJ33" s="83">
        <f t="shared" si="6"/>
        <v>304443308.69418502</v>
      </c>
      <c r="AK33" s="84">
        <f t="shared" si="6"/>
        <v>402548909.89583331</v>
      </c>
      <c r="AL33" s="82">
        <f t="shared" si="6"/>
        <v>521734240.18303972</v>
      </c>
      <c r="AM33" s="83">
        <f t="shared" si="6"/>
        <v>584188548.09843111</v>
      </c>
      <c r="AN33" s="83">
        <f t="shared" si="6"/>
        <v>649402147.83784461</v>
      </c>
      <c r="AO33" s="83">
        <f t="shared" si="6"/>
        <v>717496947.58702719</v>
      </c>
      <c r="AP33" s="83">
        <f t="shared" si="6"/>
        <v>788600241.55346727</v>
      </c>
      <c r="AQ33" s="83">
        <f t="shared" si="6"/>
        <v>862844947.92605257</v>
      </c>
      <c r="AR33" s="83">
        <f t="shared" si="6"/>
        <v>940369857.34801364</v>
      </c>
      <c r="AS33" s="83">
        <f t="shared" si="6"/>
        <v>1021319892.3676484</v>
      </c>
      <c r="AT33" s="83">
        <f t="shared" si="6"/>
        <v>1105846378.3518281</v>
      </c>
      <c r="AU33" s="83">
        <f t="shared" si="6"/>
        <v>1194107326.3687198</v>
      </c>
      <c r="AV33" s="83">
        <f t="shared" si="6"/>
        <v>1286267728.5685534</v>
      </c>
      <c r="AW33" s="84">
        <f t="shared" si="6"/>
        <v>1382499866.6145835</v>
      </c>
      <c r="AX33" s="82">
        <f t="shared" si="6"/>
        <v>1661356406.0590584</v>
      </c>
      <c r="AY33" s="83">
        <f t="shared" si="6"/>
        <v>1702619735.3157477</v>
      </c>
      <c r="AZ33" s="83">
        <f t="shared" si="6"/>
        <v>1744486974.62363</v>
      </c>
      <c r="BA33" s="83">
        <f t="shared" si="6"/>
        <v>1786966962.516983</v>
      </c>
      <c r="BB33" s="83">
        <f t="shared" si="6"/>
        <v>1830068666.8865767</v>
      </c>
      <c r="BC33" s="83">
        <f t="shared" si="6"/>
        <v>1873801186.8728771</v>
      </c>
      <c r="BD33" s="83">
        <f t="shared" si="6"/>
        <v>1918173754.7869511</v>
      </c>
      <c r="BE33" s="83">
        <f t="shared" si="6"/>
        <v>1963195738.0594888</v>
      </c>
      <c r="BF33" s="83">
        <f t="shared" si="6"/>
        <v>2008876641.2183475</v>
      </c>
      <c r="BG33" s="83">
        <f t="shared" si="6"/>
        <v>2055226107.8950369</v>
      </c>
      <c r="BH33" s="83">
        <f t="shared" si="6"/>
        <v>2102253922.8605778</v>
      </c>
      <c r="BI33" s="84">
        <f t="shared" si="6"/>
        <v>2149970014.091145</v>
      </c>
    </row>
    <row r="34" spans="1:61" ht="18" customHeight="1">
      <c r="A34" s="3" t="s">
        <v>84</v>
      </c>
      <c r="B34" s="55">
        <f>B33</f>
        <v>-255661433.89000419</v>
      </c>
      <c r="C34" s="55">
        <f>B34+C33</f>
        <v>-509681830.59964883</v>
      </c>
      <c r="D34" s="55">
        <f t="shared" ref="D34:BI34" si="7">C34+D33</f>
        <v>-761924940.63176119</v>
      </c>
      <c r="E34" s="55">
        <f t="shared" si="7"/>
        <v>-1012243202.1766249</v>
      </c>
      <c r="F34" s="55">
        <f t="shared" si="7"/>
        <v>-1260476801.8907886</v>
      </c>
      <c r="G34" s="55">
        <f t="shared" si="7"/>
        <v>-1506452657.6956697</v>
      </c>
      <c r="H34" s="55">
        <f t="shared" si="7"/>
        <v>-1749983317.1215336</v>
      </c>
      <c r="I34" s="55">
        <f t="shared" si="7"/>
        <v>-1990865764.184881</v>
      </c>
      <c r="J34" s="55">
        <f t="shared" si="7"/>
        <v>-2228880127.2050953</v>
      </c>
      <c r="K34" s="55">
        <f t="shared" si="7"/>
        <v>-2463788279.3356905</v>
      </c>
      <c r="L34" s="55">
        <f t="shared" si="7"/>
        <v>-2695332322.9026294</v>
      </c>
      <c r="M34" s="55">
        <f t="shared" si="7"/>
        <v>-2923232947.9026294</v>
      </c>
      <c r="N34" s="55">
        <f t="shared" si="7"/>
        <v>-3573521911.988265</v>
      </c>
      <c r="O34" s="55">
        <f t="shared" si="7"/>
        <v>-4212412815.6457567</v>
      </c>
      <c r="P34" s="55">
        <f t="shared" si="7"/>
        <v>-4837998788.5181971</v>
      </c>
      <c r="Q34" s="55">
        <f t="shared" si="7"/>
        <v>-5448053945.0459614</v>
      </c>
      <c r="R34" s="55">
        <f t="shared" si="7"/>
        <v>-6039980013.9272833</v>
      </c>
      <c r="S34" s="55">
        <f t="shared" si="7"/>
        <v>-6610744038.8053589</v>
      </c>
      <c r="T34" s="55">
        <f t="shared" si="7"/>
        <v>-7156805656.4178791</v>
      </c>
      <c r="U34" s="55">
        <f t="shared" si="7"/>
        <v>-7674032208.5414639</v>
      </c>
      <c r="V34" s="55">
        <f t="shared" si="7"/>
        <v>-8157599652.3517237</v>
      </c>
      <c r="W34" s="55">
        <f t="shared" si="7"/>
        <v>-8601876893.3052273</v>
      </c>
      <c r="X34" s="55">
        <f t="shared" si="7"/>
        <v>-9000290767.1678677</v>
      </c>
      <c r="Y34" s="55">
        <f t="shared" si="7"/>
        <v>-9345168433.8345337</v>
      </c>
      <c r="Z34" s="55">
        <f t="shared" si="7"/>
        <v>-9741927438.0542049</v>
      </c>
      <c r="AA34" s="55">
        <f t="shared" si="7"/>
        <v>-10088073973.473032</v>
      </c>
      <c r="AB34" s="55">
        <f t="shared" si="7"/>
        <v>-10378566683.149134</v>
      </c>
      <c r="AC34" s="55">
        <f t="shared" si="7"/>
        <v>-10607862055.623816</v>
      </c>
      <c r="AD34" s="55">
        <f t="shared" si="7"/>
        <v>-10769864406.809052</v>
      </c>
      <c r="AE34" s="55">
        <f t="shared" si="7"/>
        <v>-10857870879.720081</v>
      </c>
      <c r="AF34" s="55">
        <f t="shared" si="7"/>
        <v>-10864673860.943346</v>
      </c>
      <c r="AG34" s="55">
        <f t="shared" si="7"/>
        <v>-10804373554.850981</v>
      </c>
      <c r="AH34" s="55">
        <f t="shared" si="7"/>
        <v>-10670286003.293011</v>
      </c>
      <c r="AI34" s="55">
        <f t="shared" si="7"/>
        <v>-10455061478.999384</v>
      </c>
      <c r="AJ34" s="55">
        <f t="shared" si="7"/>
        <v>-10150618170.305199</v>
      </c>
      <c r="AK34" s="55">
        <f t="shared" si="7"/>
        <v>-9748069260.4093647</v>
      </c>
      <c r="AL34" s="55">
        <f t="shared" si="7"/>
        <v>-9226335020.2263241</v>
      </c>
      <c r="AM34" s="55">
        <f t="shared" si="7"/>
        <v>-8642146472.1278934</v>
      </c>
      <c r="AN34" s="55">
        <f t="shared" si="7"/>
        <v>-7992744324.2900486</v>
      </c>
      <c r="AO34" s="55">
        <f t="shared" si="7"/>
        <v>-7275247376.703021</v>
      </c>
      <c r="AP34" s="55">
        <f t="shared" si="7"/>
        <v>-6486647135.1495533</v>
      </c>
      <c r="AQ34" s="55">
        <f t="shared" si="7"/>
        <v>-5623802187.2235012</v>
      </c>
      <c r="AR34" s="55">
        <f t="shared" si="7"/>
        <v>-4683432329.8754873</v>
      </c>
      <c r="AS34" s="55">
        <f t="shared" si="7"/>
        <v>-3662112437.5078392</v>
      </c>
      <c r="AT34" s="55">
        <f t="shared" si="7"/>
        <v>-2556266059.1560111</v>
      </c>
      <c r="AU34" s="55">
        <f t="shared" si="7"/>
        <v>-1362158732.7872913</v>
      </c>
      <c r="AV34" s="55">
        <f t="shared" si="7"/>
        <v>-75891004.218737841</v>
      </c>
      <c r="AW34" s="55">
        <f t="shared" si="7"/>
        <v>1306608862.3958457</v>
      </c>
      <c r="AX34" s="55">
        <f t="shared" si="7"/>
        <v>2967965268.4549041</v>
      </c>
      <c r="AY34" s="55">
        <f t="shared" si="7"/>
        <v>4670585003.7706518</v>
      </c>
      <c r="AZ34" s="55">
        <f t="shared" si="7"/>
        <v>6415071978.3942814</v>
      </c>
      <c r="BA34" s="55">
        <f t="shared" si="7"/>
        <v>8202038940.9112644</v>
      </c>
      <c r="BB34" s="55">
        <f t="shared" si="7"/>
        <v>10032107607.79784</v>
      </c>
      <c r="BC34" s="55">
        <f t="shared" si="7"/>
        <v>11905908794.670717</v>
      </c>
      <c r="BD34" s="55">
        <f t="shared" si="7"/>
        <v>13824082549.457668</v>
      </c>
      <c r="BE34" s="55">
        <f t="shared" si="7"/>
        <v>15787278287.517157</v>
      </c>
      <c r="BF34" s="55">
        <f t="shared" si="7"/>
        <v>17796154928.735504</v>
      </c>
      <c r="BG34" s="55">
        <f t="shared" si="7"/>
        <v>19851381036.630543</v>
      </c>
      <c r="BH34" s="55">
        <f t="shared" si="7"/>
        <v>21953634959.491119</v>
      </c>
      <c r="BI34" s="55">
        <f t="shared" si="7"/>
        <v>24103604973.582264</v>
      </c>
    </row>
    <row r="35" spans="1:61" ht="18" customHeight="1">
      <c r="A35" s="3" t="s">
        <v>85</v>
      </c>
      <c r="B35" s="55">
        <f>MIN($B34:$XFD34)</f>
        <v>-10864673860.943346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</row>
    <row r="36" spans="1:61" ht="18" customHeight="1"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</row>
    <row r="37" spans="1:61" ht="18" customHeight="1"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</row>
    <row r="38" spans="1:61" ht="18" customHeight="1"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 spans="1:61" ht="18" customHeight="1"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</row>
    <row r="40" spans="1:61" ht="18" customHeight="1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</row>
    <row r="41" spans="1:61" ht="18" customHeight="1"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</row>
    <row r="42" spans="1:61" ht="18" customHeight="1"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</row>
    <row r="43" spans="1:61" ht="18" customHeight="1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</row>
    <row r="44" spans="1:61" ht="18" customHeight="1"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</row>
    <row r="45" spans="1:61" ht="18" customHeight="1"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</row>
    <row r="46" spans="1:61" ht="18" customHeight="1"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</row>
    <row r="47" spans="1:61" ht="18" customHeight="1"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</row>
    <row r="48" spans="1:61" ht="18" customHeight="1"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</row>
    <row r="49" spans="2:24" ht="18" customHeight="1"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</row>
    <row r="50" spans="2:24" ht="18" customHeight="1"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</row>
    <row r="51" spans="2:24" ht="18" customHeight="1"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</row>
    <row r="52" spans="2:24" ht="18" customHeight="1"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</row>
    <row r="53" spans="2:24" ht="18" customHeight="1"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</row>
    <row r="54" spans="2:24" ht="18" customHeight="1"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 spans="2:24" ht="18" customHeight="1"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</row>
    <row r="56" spans="2:24" ht="18" customHeight="1"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</row>
    <row r="57" spans="2:24" ht="18" customHeight="1"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</row>
    <row r="58" spans="2:24" ht="18" customHeight="1"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</row>
    <row r="59" spans="2:24" ht="18" customHeight="1"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</row>
    <row r="60" spans="2:24" ht="18" customHeight="1"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</row>
    <row r="61" spans="2:24" ht="18" customHeight="1"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</row>
    <row r="62" spans="2:24" ht="18" customHeight="1"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</row>
    <row r="63" spans="2:24" ht="18" customHeight="1"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</row>
    <row r="64" spans="2:24" ht="18" customHeight="1"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</row>
    <row r="65" spans="2:24" ht="18" customHeight="1"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</row>
    <row r="66" spans="2:24" ht="18" customHeight="1"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</row>
    <row r="67" spans="2:24" ht="18" customHeight="1"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</row>
    <row r="68" spans="2:24" ht="18" customHeight="1"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</row>
    <row r="69" spans="2:24" ht="18" customHeight="1"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</row>
    <row r="70" spans="2:24" ht="18" customHeight="1"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</row>
    <row r="71" spans="2:24" ht="18" customHeight="1"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</row>
    <row r="72" spans="2:24" ht="18" customHeight="1"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</row>
    <row r="73" spans="2:24" ht="18" customHeight="1"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</row>
    <row r="74" spans="2:24" ht="18" customHeight="1"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</row>
    <row r="75" spans="2:24" ht="18" customHeight="1"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</row>
    <row r="76" spans="2:24" ht="18" customHeight="1"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</row>
    <row r="77" spans="2:24" ht="18" customHeight="1"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</row>
    <row r="78" spans="2:24" ht="18" customHeight="1"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</row>
    <row r="79" spans="2:24" ht="18" customHeight="1"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</row>
    <row r="80" spans="2:24" ht="18" customHeight="1"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</row>
    <row r="81" spans="2:24" ht="18" customHeight="1"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</row>
    <row r="82" spans="2:24" ht="18" customHeight="1"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</row>
    <row r="83" spans="2:24" ht="18" customHeight="1"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</row>
    <row r="84" spans="2:24" ht="18" customHeight="1"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</row>
    <row r="85" spans="2:24" ht="18" customHeight="1"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</row>
    <row r="86" spans="2:24" ht="18" customHeight="1"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</row>
    <row r="87" spans="2:24" ht="18" customHeight="1"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</row>
    <row r="88" spans="2:24" ht="18" customHeight="1"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</row>
    <row r="89" spans="2:24" ht="18" customHeight="1"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</row>
    <row r="90" spans="2:24" ht="18" customHeight="1"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</row>
    <row r="91" spans="2:24" ht="18" customHeight="1"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</row>
    <row r="92" spans="2:24" ht="18" customHeight="1"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</row>
    <row r="93" spans="2:24" ht="18" customHeight="1"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</row>
    <row r="94" spans="2:24" ht="18" customHeight="1"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</row>
    <row r="95" spans="2:24" ht="18" customHeight="1"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</row>
    <row r="96" spans="2:24" ht="18" customHeight="1"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</row>
    <row r="97" spans="2:24" ht="18" customHeight="1"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</row>
    <row r="98" spans="2:24" ht="18" customHeight="1"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</row>
    <row r="99" spans="2:24" ht="18" customHeight="1"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</row>
    <row r="100" spans="2:24" ht="18" customHeight="1"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</row>
    <row r="101" spans="2:24" ht="18" customHeight="1"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</row>
    <row r="102" spans="2:24" ht="18" customHeight="1"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</row>
    <row r="103" spans="2:24" ht="18" customHeight="1"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</row>
    <row r="104" spans="2:24" ht="18" customHeight="1"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</row>
    <row r="105" spans="2:24" ht="18" customHeight="1"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</row>
    <row r="106" spans="2:24" ht="18" customHeight="1"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</row>
    <row r="107" spans="2:24" ht="18" customHeight="1"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</row>
    <row r="108" spans="2:24" ht="18" customHeight="1"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</row>
    <row r="109" spans="2:24" ht="18" customHeight="1"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</row>
    <row r="110" spans="2:24" ht="18" customHeight="1"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</row>
    <row r="111" spans="2:24" ht="18" customHeight="1"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</row>
    <row r="112" spans="2:24" ht="18" customHeight="1"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</row>
    <row r="113" spans="2:24" ht="18" customHeight="1"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</row>
    <row r="114" spans="2:24" ht="18" customHeight="1"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</row>
    <row r="115" spans="2:24" ht="18" customHeight="1"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</row>
    <row r="116" spans="2:24" ht="18" customHeight="1"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</row>
    <row r="117" spans="2:24" ht="18" customHeight="1"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</row>
    <row r="118" spans="2:24" ht="18" customHeight="1"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</row>
    <row r="119" spans="2:24" ht="18" customHeight="1"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</row>
    <row r="120" spans="2:24" ht="18" customHeight="1"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</row>
    <row r="121" spans="2:24" ht="18" customHeight="1"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</row>
    <row r="122" spans="2:24" ht="18" customHeight="1"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</row>
    <row r="123" spans="2:24" ht="18" customHeight="1"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</row>
    <row r="124" spans="2:24" ht="18" customHeight="1"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</row>
    <row r="125" spans="2:24" ht="18" customHeight="1"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</row>
    <row r="126" spans="2:24" ht="18" customHeight="1"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</row>
    <row r="127" spans="2:24" ht="18" customHeight="1"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</row>
    <row r="128" spans="2:24" ht="18" customHeight="1"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</row>
    <row r="129" spans="2:24" ht="18" customHeight="1"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</row>
    <row r="130" spans="2:24" ht="18" customHeight="1"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</row>
    <row r="131" spans="2:24" ht="18" customHeight="1"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</row>
    <row r="132" spans="2:24" ht="18" customHeight="1"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</row>
    <row r="133" spans="2:24" ht="18" customHeight="1"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</row>
    <row r="134" spans="2:24" ht="18" customHeight="1"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</row>
    <row r="135" spans="2:24" ht="18" customHeight="1"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</row>
    <row r="136" spans="2:24" ht="18" customHeight="1"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</row>
    <row r="137" spans="2:24" ht="18" customHeight="1"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</row>
    <row r="138" spans="2:24" ht="18" customHeight="1"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</row>
    <row r="139" spans="2:24" ht="18" customHeight="1"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</row>
    <row r="140" spans="2:24" ht="18" customHeight="1"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</row>
    <row r="141" spans="2:24" ht="18" customHeight="1"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</row>
    <row r="142" spans="2:24" ht="18" customHeight="1"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</row>
    <row r="143" spans="2:24" ht="18" customHeight="1"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</row>
    <row r="144" spans="2:24" ht="18" customHeight="1"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</row>
    <row r="145" spans="2:24" ht="18" customHeight="1"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</row>
    <row r="146" spans="2:24" ht="18" customHeight="1"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</row>
    <row r="147" spans="2:24" ht="18" customHeight="1"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</row>
    <row r="148" spans="2:24" ht="18" customHeight="1"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</row>
    <row r="149" spans="2:24" ht="18" customHeight="1"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</row>
    <row r="150" spans="2:24" ht="18" customHeight="1"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</row>
    <row r="151" spans="2:24" ht="18" customHeight="1"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</row>
    <row r="152" spans="2:24" ht="18" customHeight="1"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</row>
    <row r="153" spans="2:24" ht="18" customHeight="1"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</row>
  </sheetData>
  <mergeCells count="5">
    <mergeCell ref="B1:M1"/>
    <mergeCell ref="N1:Y1"/>
    <mergeCell ref="Z1:AK1"/>
    <mergeCell ref="AL1:AW1"/>
    <mergeCell ref="AX1:BI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1493-120E-2741-B395-E0736EC18546}">
  <sheetPr codeName="Sheet7"/>
  <dimension ref="A1:G18"/>
  <sheetViews>
    <sheetView topLeftCell="A7" zoomScale="160" zoomScaleNormal="160" workbookViewId="0">
      <selection activeCell="E14" sqref="E14"/>
    </sheetView>
  </sheetViews>
  <sheetFormatPr defaultColWidth="20.85546875" defaultRowHeight="24.95" customHeight="1"/>
  <sheetData>
    <row r="1" spans="1:7" ht="24.95" customHeight="1">
      <c r="A1" s="18"/>
      <c r="B1" s="19" t="s">
        <v>9</v>
      </c>
      <c r="C1" s="19" t="s">
        <v>10</v>
      </c>
      <c r="D1" s="19" t="s">
        <v>11</v>
      </c>
      <c r="E1" s="19" t="s">
        <v>12</v>
      </c>
      <c r="F1" s="19" t="s">
        <v>13</v>
      </c>
      <c r="G1" s="20" t="s">
        <v>14</v>
      </c>
    </row>
    <row r="2" spans="1:7" ht="24.95" customHeight="1">
      <c r="A2" s="21" t="s">
        <v>15</v>
      </c>
      <c r="B2" s="94">
        <f>B4/G4</f>
        <v>9.6000000000000009E-3</v>
      </c>
      <c r="C2" s="94">
        <f>2.5%-B2</f>
        <v>1.54E-2</v>
      </c>
      <c r="D2" s="94">
        <v>0.13500000000000001</v>
      </c>
      <c r="E2" s="94">
        <v>0.34</v>
      </c>
      <c r="F2" s="94">
        <v>0.34</v>
      </c>
      <c r="G2" s="95">
        <v>0.16</v>
      </c>
    </row>
    <row r="3" spans="1:7" ht="24.95" customHeight="1">
      <c r="A3" s="21" t="s">
        <v>61</v>
      </c>
      <c r="B3" s="97">
        <f>B2</f>
        <v>9.6000000000000009E-3</v>
      </c>
      <c r="C3" s="105">
        <f>C2+B3</f>
        <v>2.5000000000000001E-2</v>
      </c>
      <c r="D3" s="105">
        <f t="shared" ref="D3:G3" si="0">D2+C3</f>
        <v>0.16</v>
      </c>
      <c r="E3" s="105">
        <f t="shared" si="0"/>
        <v>0.5</v>
      </c>
      <c r="F3" s="105">
        <f t="shared" si="0"/>
        <v>0.84000000000000008</v>
      </c>
      <c r="G3" s="106">
        <f t="shared" si="0"/>
        <v>1</v>
      </c>
    </row>
    <row r="4" spans="1:7" ht="24.95" customHeight="1">
      <c r="A4" s="21" t="s">
        <v>16</v>
      </c>
      <c r="B4" s="96">
        <v>100</v>
      </c>
      <c r="C4" s="25">
        <f>C3*$G$4</f>
        <v>260.41666666666669</v>
      </c>
      <c r="D4" s="25">
        <f t="shared" ref="D4:F4" si="1">D3*$G$4</f>
        <v>1666.6666666666665</v>
      </c>
      <c r="E4" s="25">
        <f>E3*$G$4</f>
        <v>5208.333333333333</v>
      </c>
      <c r="F4" s="25">
        <f t="shared" si="1"/>
        <v>8750</v>
      </c>
      <c r="G4" s="107">
        <f>'Market Size'!B8</f>
        <v>10416.666666666666</v>
      </c>
    </row>
    <row r="5" spans="1:7" ht="24.95" customHeight="1">
      <c r="A5" s="21" t="s">
        <v>28</v>
      </c>
      <c r="B5" s="96">
        <f>B4*Assumptions!B7</f>
        <v>25000000</v>
      </c>
      <c r="C5" s="25">
        <f>SUM('P&amp;L'!B6:M6)</f>
        <v>470819653.27073061</v>
      </c>
      <c r="D5" s="25">
        <f>SUM('P&amp;L'!N6:Y6)</f>
        <v>2759602429.8121648</v>
      </c>
      <c r="E5" s="25">
        <f>SUM('P&amp;L'!Z6:AK6)</f>
        <v>13745413344.316887</v>
      </c>
      <c r="F5" s="25">
        <f>SUM('P&amp;L'!AL6:AW6)</f>
        <v>36784154718.342484</v>
      </c>
      <c r="G5" s="78">
        <f>SUM('P&amp;L'!AX6:BI6)</f>
        <v>63470714418.239388</v>
      </c>
    </row>
    <row r="6" spans="1:7" ht="24.95" customHeight="1">
      <c r="A6" s="21" t="s">
        <v>37</v>
      </c>
      <c r="B6" s="98"/>
      <c r="C6" s="105">
        <f>SUM('P&amp;L'!B14:M14)</f>
        <v>-3013920000</v>
      </c>
      <c r="D6" s="105">
        <f>SUM('P&amp;L'!N14:Y14)</f>
        <v>-8068032000</v>
      </c>
      <c r="E6" s="105">
        <f>SUM('P&amp;L'!Z14:AK14)</f>
        <v>-10158566400</v>
      </c>
      <c r="F6" s="105">
        <f>SUM('P&amp;L'!AL14:AW14)</f>
        <v>-12762593280</v>
      </c>
      <c r="G6" s="106">
        <f>SUM('P&amp;L'!AX14:BI14)</f>
        <v>-15315111936</v>
      </c>
    </row>
    <row r="7" spans="1:7" ht="24.95" customHeight="1">
      <c r="A7" s="21" t="str">
        <f>'P&amp;L'!A19</f>
        <v>Total Marketing</v>
      </c>
      <c r="B7" s="98"/>
      <c r="C7" s="105">
        <f>SUM('P&amp;L'!B19:M19)</f>
        <v>-88932601.173360229</v>
      </c>
      <c r="D7" s="105">
        <f>SUM('P&amp;L'!N19:Y19)</f>
        <v>-560505915.74407089</v>
      </c>
      <c r="E7" s="105">
        <f>SUM('P&amp;L'!Z19:AK19)</f>
        <v>-2905230564.4548178</v>
      </c>
      <c r="F7" s="105">
        <f>SUM('P&amp;L'!AL19:AW19)</f>
        <v>-7774698941.2688675</v>
      </c>
      <c r="G7" s="106">
        <f>SUM('P&amp;L'!AX19:BI19)</f>
        <v>-14546066000.657501</v>
      </c>
    </row>
    <row r="8" spans="1:7" ht="24.95" customHeight="1">
      <c r="A8" s="21" t="str">
        <f>'P&amp;L'!A24</f>
        <v>Total G&amp;A</v>
      </c>
      <c r="B8" s="99"/>
      <c r="C8" s="105">
        <f>SUM('P&amp;L'!B24:M24)</f>
        <v>-151200000</v>
      </c>
      <c r="D8" s="105">
        <f>SUM('P&amp;L'!N23:Y23)</f>
        <v>-84000000</v>
      </c>
      <c r="E8" s="105">
        <f>SUM('P&amp;L'!Z24:AK24)</f>
        <v>-590625000</v>
      </c>
      <c r="F8" s="105">
        <f>SUM('P&amp;L'!AL24:AW24)</f>
        <v>-1012500000</v>
      </c>
      <c r="G8" s="106">
        <f>SUM('P&amp;L'!AX24:BI24)</f>
        <v>-2162109375</v>
      </c>
    </row>
    <row r="9" spans="1:7" ht="24.95" customHeight="1">
      <c r="A9" s="21" t="str">
        <f>'P&amp;L'!A26</f>
        <v>Asset</v>
      </c>
      <c r="B9" s="98"/>
      <c r="C9" s="105">
        <f>SUM('P&amp;L'!B26:M26)</f>
        <v>140000000.00000003</v>
      </c>
      <c r="D9" s="105">
        <f>SUM('P&amp;L'!N26:Y26)</f>
        <v>175000000.00000009</v>
      </c>
      <c r="E9" s="105">
        <f>SUM('P&amp;L'!Z26:AK26)</f>
        <v>109374999.99999999</v>
      </c>
      <c r="F9" s="105">
        <f>SUM('P&amp;L'!AL26:AW26)</f>
        <v>390625000</v>
      </c>
      <c r="G9" s="106">
        <f>SUM('P&amp;L'!AX26:BI26)</f>
        <v>830078125.00000036</v>
      </c>
    </row>
    <row r="10" spans="1:7" ht="24.95" customHeight="1">
      <c r="A10" s="21" t="str">
        <f>'P&amp;L'!A28</f>
        <v>Depraction</v>
      </c>
      <c r="B10" s="99"/>
      <c r="C10" s="105">
        <f>SUM('P&amp;L'!B28:M28)</f>
        <v>-27999999.999999996</v>
      </c>
      <c r="D10" s="105">
        <f>SUM('P&amp;L'!N28:Y28)</f>
        <v>-35000000.000000007</v>
      </c>
      <c r="E10" s="105">
        <f>SUM('P&amp;L'!Z28:AK28)</f>
        <v>-21875000.000000011</v>
      </c>
      <c r="F10" s="105">
        <f>SUM('P&amp;L'!AL28:AW28)</f>
        <v>-78125000.00000003</v>
      </c>
      <c r="G10" s="106">
        <f>SUM('P&amp;L'!AX28:BI28)</f>
        <v>-166015625</v>
      </c>
    </row>
    <row r="11" spans="1:7" ht="24.95" customHeight="1">
      <c r="A11" s="21" t="str">
        <f>'P&amp;L'!A29</f>
        <v>EBIT</v>
      </c>
      <c r="B11" s="99"/>
      <c r="C11" s="105">
        <f>SUM('P&amp;L'!B29:M29)</f>
        <v>-2811232947.9026294</v>
      </c>
      <c r="D11" s="105">
        <f>SUM('P&amp;L'!N29:Y29)</f>
        <v>-6281935485.9319057</v>
      </c>
      <c r="E11" s="105">
        <f>SUM('P&amp;L'!Z29:AK29)</f>
        <v>69116379.862071037</v>
      </c>
      <c r="F11" s="105">
        <f>SUM('P&amp;L'!AL29:AW29)</f>
        <v>15156237497.073614</v>
      </c>
      <c r="G11" s="106">
        <f>SUM('P&amp;L'!AX29:BI29)</f>
        <v>31281411481.581886</v>
      </c>
    </row>
    <row r="12" spans="1:7" ht="24.95" customHeight="1">
      <c r="A12" s="21" t="str">
        <f>'P&amp;L'!A30</f>
        <v>TAX</v>
      </c>
      <c r="B12" s="98"/>
      <c r="C12" s="105">
        <f>SUM('P&amp;L'!B30:M30)</f>
        <v>0</v>
      </c>
      <c r="D12" s="105">
        <f>SUM('P&amp;L'!N30:Y30)</f>
        <v>0</v>
      </c>
      <c r="E12" s="105">
        <f>SUM('P&amp;L'!Z30:AK30)</f>
        <v>-384517206.43690538</v>
      </c>
      <c r="F12" s="105">
        <f>SUM('P&amp;L'!AL30:AW30)</f>
        <v>-3789059374.2684035</v>
      </c>
      <c r="G12" s="106">
        <f>SUM('P&amp;L'!AX30:BI30)</f>
        <v>-7820352870.3954716</v>
      </c>
    </row>
    <row r="13" spans="1:7" ht="24.95" customHeight="1">
      <c r="A13" s="21" t="str">
        <f>'P&amp;L'!A31</f>
        <v>Net Income</v>
      </c>
      <c r="B13" s="99"/>
      <c r="C13" s="105">
        <f>SUM('P&amp;L'!B31:M31)</f>
        <v>-2811232947.9026294</v>
      </c>
      <c r="D13" s="105">
        <f>SUM('P&amp;L'!N31:Y31)</f>
        <v>-6281935485.9319057</v>
      </c>
      <c r="E13" s="105">
        <f>SUM('P&amp;L'!Z31:AK31)</f>
        <v>-315400826.57483441</v>
      </c>
      <c r="F13" s="105">
        <f>SUM('P&amp;L'!AL31:AW31)</f>
        <v>11367178122.805208</v>
      </c>
      <c r="G13" s="106">
        <f>SUM('P&amp;L'!AX31:BI31)</f>
        <v>23461058611.186417</v>
      </c>
    </row>
    <row r="14" spans="1:7" ht="24.95" customHeight="1">
      <c r="A14" s="33" t="str">
        <f>'P&amp;L'!A33</f>
        <v>FCF</v>
      </c>
      <c r="B14" s="100"/>
      <c r="C14" s="108">
        <f>SUM('P&amp;L'!B33:M33)</f>
        <v>-2923232947.9026294</v>
      </c>
      <c r="D14" s="108">
        <f>SUM('P&amp;L'!N33:Y33)</f>
        <v>-6421935485.9319067</v>
      </c>
      <c r="E14" s="108">
        <f>SUM('P&amp;L'!Z33:AK33)</f>
        <v>-402900826.57483453</v>
      </c>
      <c r="F14" s="108">
        <f>SUM('P&amp;L'!AL33:AW33)</f>
        <v>11054678122.80521</v>
      </c>
      <c r="G14" s="109">
        <f>SUM('P&amp;L'!AX33:BI33)</f>
        <v>22796996111.18642</v>
      </c>
    </row>
    <row r="15" spans="1:7" ht="24.95" customHeight="1">
      <c r="B15" s="1"/>
      <c r="C15" s="1"/>
      <c r="D15" s="1"/>
      <c r="E15" s="1"/>
      <c r="F15" s="1"/>
      <c r="G15" s="1"/>
    </row>
    <row r="16" spans="1:7" ht="24.95" customHeight="1">
      <c r="B16" s="1"/>
      <c r="C16" s="1"/>
      <c r="D16" s="1"/>
      <c r="E16" s="1"/>
      <c r="F16" s="1"/>
      <c r="G16" s="1"/>
    </row>
    <row r="17" spans="2:7" ht="24.95" customHeight="1">
      <c r="B17" s="1"/>
      <c r="C17" s="1"/>
      <c r="D17" s="1"/>
      <c r="E17" s="1"/>
      <c r="F17" s="1"/>
      <c r="G17" s="1"/>
    </row>
    <row r="18" spans="2:7" ht="24.95" customHeight="1">
      <c r="B18" s="1"/>
      <c r="C18" s="1"/>
      <c r="D18" s="1"/>
      <c r="E18" s="1"/>
      <c r="F18" s="1"/>
      <c r="G18" s="1"/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9F25-2157-41FB-B889-B8EC0944A585}">
  <dimension ref="A1:T45"/>
  <sheetViews>
    <sheetView zoomScale="145" zoomScaleNormal="145" workbookViewId="0">
      <selection activeCell="B7" sqref="B7"/>
    </sheetView>
  </sheetViews>
  <sheetFormatPr defaultRowHeight="15"/>
  <cols>
    <col min="1" max="1" width="23.140625" bestFit="1" customWidth="1"/>
    <col min="2" max="2" width="18.5703125" bestFit="1" customWidth="1"/>
    <col min="3" max="3" width="15.42578125" bestFit="1" customWidth="1"/>
    <col min="4" max="4" width="13.28515625" bestFit="1" customWidth="1"/>
    <col min="5" max="10" width="15.85546875" bestFit="1" customWidth="1"/>
    <col min="13" max="13" width="21.42578125" bestFit="1" customWidth="1"/>
    <col min="14" max="14" width="17.28515625" bestFit="1" customWidth="1"/>
    <col min="15" max="15" width="18.5703125" customWidth="1"/>
    <col min="16" max="16" width="13.28515625" bestFit="1" customWidth="1"/>
    <col min="17" max="20" width="14.85546875" bestFit="1" customWidth="1"/>
  </cols>
  <sheetData>
    <row r="1" spans="1:20">
      <c r="A1" t="s">
        <v>75</v>
      </c>
      <c r="M1" s="133" t="s">
        <v>100</v>
      </c>
      <c r="N1" t="s">
        <v>102</v>
      </c>
      <c r="O1" t="s">
        <v>103</v>
      </c>
      <c r="P1" t="s">
        <v>104</v>
      </c>
    </row>
    <row r="2" spans="1:20">
      <c r="A2" t="s">
        <v>76</v>
      </c>
      <c r="B2" s="112">
        <v>0.8</v>
      </c>
      <c r="M2" t="s">
        <v>101</v>
      </c>
      <c r="N2" s="111">
        <f>(1-P2)*0.3</f>
        <v>0.22499999999999998</v>
      </c>
      <c r="O2" s="111">
        <f>(1-P2)*0.7</f>
        <v>0.52499999999999991</v>
      </c>
      <c r="P2" s="111">
        <v>0.25</v>
      </c>
    </row>
    <row r="3" spans="1:20">
      <c r="A3" t="s">
        <v>77</v>
      </c>
      <c r="B3" s="112">
        <v>0.45</v>
      </c>
      <c r="M3" t="s">
        <v>105</v>
      </c>
      <c r="N3" s="1">
        <f>Summary!G5*1.5</f>
        <v>95206071627.359085</v>
      </c>
      <c r="O3" s="114">
        <v>46000000000</v>
      </c>
      <c r="P3">
        <v>0</v>
      </c>
    </row>
    <row r="4" spans="1:20">
      <c r="A4" t="s">
        <v>78</v>
      </c>
      <c r="B4" s="112">
        <v>0.25</v>
      </c>
      <c r="M4" t="s">
        <v>106</v>
      </c>
      <c r="N4">
        <f>B16</f>
        <v>8</v>
      </c>
      <c r="O4">
        <f>N4</f>
        <v>8</v>
      </c>
      <c r="P4">
        <f>O4</f>
        <v>8</v>
      </c>
    </row>
    <row r="5" spans="1:20">
      <c r="A5" s="110" t="s">
        <v>79</v>
      </c>
      <c r="M5" t="s">
        <v>107</v>
      </c>
      <c r="N5" s="1">
        <f>N3*N4*(1-$B$18)</f>
        <v>594085886954.7207</v>
      </c>
      <c r="O5" s="1">
        <f>O3*O4*(1-$B$18)</f>
        <v>287040000000</v>
      </c>
      <c r="P5" s="1">
        <f>P3*P4*(1-$B$18)</f>
        <v>0</v>
      </c>
    </row>
    <row r="6" spans="1:20">
      <c r="A6" t="s">
        <v>74</v>
      </c>
      <c r="B6">
        <v>1</v>
      </c>
      <c r="C6">
        <v>2</v>
      </c>
      <c r="D6">
        <v>3</v>
      </c>
      <c r="E6">
        <v>4</v>
      </c>
      <c r="F6">
        <v>5</v>
      </c>
      <c r="M6" t="s">
        <v>108</v>
      </c>
      <c r="N6" s="1">
        <f>N5/(1+$B$2)^5</f>
        <v>31440302066.648067</v>
      </c>
      <c r="O6" s="1">
        <f>O5/(1+$B$2)^5</f>
        <v>15190773764.161963</v>
      </c>
      <c r="P6" s="1">
        <f>P5/(1+$B$2)^5</f>
        <v>0</v>
      </c>
    </row>
    <row r="7" spans="1:20">
      <c r="A7" t="s">
        <v>57</v>
      </c>
      <c r="B7" s="1">
        <f>Summary!C14</f>
        <v>-2923232947.9026294</v>
      </c>
      <c r="C7" s="1">
        <f>Summary!D14</f>
        <v>-6421935485.9319067</v>
      </c>
      <c r="D7" s="1">
        <f>Summary!E14</f>
        <v>-402900826.57483453</v>
      </c>
      <c r="E7" s="1">
        <f>Summary!F14</f>
        <v>11054678122.80521</v>
      </c>
      <c r="F7" s="1">
        <f>Summary!G14</f>
        <v>22796996111.18642</v>
      </c>
      <c r="M7" t="s">
        <v>109</v>
      </c>
      <c r="N7" s="170">
        <f>SUMPRODUCT(N2:P2,N6:P6)</f>
        <v>15049224191.180843</v>
      </c>
      <c r="O7" s="170"/>
      <c r="P7" s="170"/>
    </row>
    <row r="8" spans="1:20">
      <c r="A8" t="s">
        <v>80</v>
      </c>
      <c r="B8" s="114">
        <f>B7/(1+$B$2)^B6</f>
        <v>-1624018304.3903496</v>
      </c>
      <c r="C8" s="114">
        <f t="shared" ref="C8:E8" si="0">C7/(1+$B$2)^C6</f>
        <v>-1982078853.682687</v>
      </c>
      <c r="D8" s="114">
        <f t="shared" si="0"/>
        <v>-69084503.870856389</v>
      </c>
      <c r="E8" s="114">
        <f t="shared" si="0"/>
        <v>1053067188.957972</v>
      </c>
      <c r="F8" s="114">
        <f>F7/(1+$B$2)^F6</f>
        <v>1206466034.0980802</v>
      </c>
      <c r="M8" t="s">
        <v>110</v>
      </c>
      <c r="O8" s="114">
        <f>N7+B14</f>
        <v>8394313898.6560049</v>
      </c>
      <c r="P8" s="134">
        <f>(((1+0.8)*(1+P2))-1)</f>
        <v>1.25</v>
      </c>
    </row>
    <row r="9" spans="1:20">
      <c r="A9" t="s">
        <v>81</v>
      </c>
      <c r="B9" s="114">
        <f>SUM(B8:F8)</f>
        <v>-1415648438.8878407</v>
      </c>
      <c r="G9" t="s">
        <v>96</v>
      </c>
    </row>
    <row r="10" spans="1:20">
      <c r="A10" t="s">
        <v>123</v>
      </c>
      <c r="B10" s="114">
        <f>(F7*(1+B4)/((B3-B4)))</f>
        <v>142481225694.9151</v>
      </c>
      <c r="C10" t="s">
        <v>96</v>
      </c>
      <c r="D10" s="1">
        <f>B13</f>
        <v>6124764274.2251587</v>
      </c>
      <c r="E10" s="111">
        <v>0.74</v>
      </c>
      <c r="F10" s="111">
        <v>0.76</v>
      </c>
      <c r="G10" s="111">
        <v>0.78</v>
      </c>
      <c r="H10" s="111">
        <v>0.8</v>
      </c>
      <c r="I10" s="111">
        <v>0.82</v>
      </c>
      <c r="J10" s="111">
        <v>0.84</v>
      </c>
      <c r="O10" t="s">
        <v>111</v>
      </c>
    </row>
    <row r="11" spans="1:20" ht="15.75" thickBot="1">
      <c r="A11" t="s">
        <v>125</v>
      </c>
      <c r="B11" s="142">
        <f>Summary!G5*Valuation!B16*(1-B18)</f>
        <v>396057257969.81378</v>
      </c>
      <c r="D11" s="111">
        <v>0.38</v>
      </c>
      <c r="E11" s="114">
        <f t="dataTable" ref="E11:J17" dt2D="1" dtr="1" r1="B2" r2="B3" ca="1"/>
        <v>12501223233.869478</v>
      </c>
      <c r="F11" s="114">
        <v>11674212671.878248</v>
      </c>
      <c r="G11" s="114">
        <v>10903576643.900455</v>
      </c>
      <c r="H11" s="114">
        <v>10184986504.36293</v>
      </c>
      <c r="I11" s="114">
        <v>9514486770.6903362</v>
      </c>
      <c r="J11" s="1">
        <v>8888459405.1510658</v>
      </c>
      <c r="M11" s="1">
        <f>O8</f>
        <v>8394313898.6560049</v>
      </c>
      <c r="N11" s="111">
        <v>0.2</v>
      </c>
      <c r="O11" s="111">
        <v>0.25</v>
      </c>
      <c r="P11" s="111">
        <v>0.3</v>
      </c>
      <c r="Q11" s="111">
        <v>0.35</v>
      </c>
      <c r="R11" s="111">
        <v>0.4</v>
      </c>
      <c r="S11" s="111">
        <v>0.45</v>
      </c>
      <c r="T11" s="111">
        <v>0.5</v>
      </c>
    </row>
    <row r="12" spans="1:20" ht="15.75" thickBot="1">
      <c r="A12" t="s">
        <v>124</v>
      </c>
      <c r="B12" s="114">
        <f>B10/(1+B2)^5</f>
        <v>7540412713.1129999</v>
      </c>
      <c r="D12" s="111">
        <v>0.4</v>
      </c>
      <c r="E12" s="114">
        <v>10668753623.506229</v>
      </c>
      <c r="F12" s="114">
        <v>9943521081.5529289</v>
      </c>
      <c r="G12" s="114">
        <v>9267954389.7076149</v>
      </c>
      <c r="H12" s="114">
        <v>8638235178.596159</v>
      </c>
      <c r="I12" s="114">
        <v>8050874363.0223618</v>
      </c>
      <c r="J12" s="1">
        <v>7502680623.3130779</v>
      </c>
      <c r="M12">
        <v>8</v>
      </c>
      <c r="N12" s="1">
        <f t="dataTable" ref="N12:T12" dt2D="1" dtr="1" r1="P2" r2="B16"/>
        <v>9397595511.4013977</v>
      </c>
      <c r="O12" s="135">
        <v>8394313898.6560049</v>
      </c>
      <c r="P12" s="136">
        <v>7391032285.9106169</v>
      </c>
      <c r="Q12" s="137">
        <v>6387750673.1652269</v>
      </c>
      <c r="R12" s="1">
        <v>5384469060.419837</v>
      </c>
      <c r="S12" s="1">
        <v>4381187447.674449</v>
      </c>
      <c r="T12" s="1">
        <v>3377905834.9290571</v>
      </c>
    </row>
    <row r="13" spans="1:20">
      <c r="A13" t="s">
        <v>82</v>
      </c>
      <c r="B13" s="114">
        <f>B12+B9</f>
        <v>6124764274.2251587</v>
      </c>
      <c r="D13" s="111">
        <v>0.42</v>
      </c>
      <c r="E13" s="114">
        <v>9267453333.2284546</v>
      </c>
      <c r="F13" s="114">
        <v>8620051041.8923931</v>
      </c>
      <c r="G13" s="115">
        <v>8017184430.6189775</v>
      </c>
      <c r="H13" s="116">
        <v>7455425341.2451019</v>
      </c>
      <c r="I13" s="117">
        <v>6931641345.3939133</v>
      </c>
      <c r="J13" s="1">
        <v>6442967437.2016783</v>
      </c>
    </row>
    <row r="14" spans="1:20">
      <c r="A14" t="s">
        <v>83</v>
      </c>
      <c r="B14" s="114">
        <f>((B7)/(1+Assumptions!$B$2))+(C7/((1+Assumptions!$B$2))^2)+(D7/(1+Assumptions!$B$2)^3)</f>
        <v>-6654910292.5248384</v>
      </c>
      <c r="D14" s="111">
        <v>0.44</v>
      </c>
      <c r="E14" s="114">
        <v>8161163630.3775787</v>
      </c>
      <c r="F14" s="114">
        <v>7575206273.7393398</v>
      </c>
      <c r="G14" s="118">
        <v>7029734462.9174194</v>
      </c>
      <c r="H14" s="119">
        <v>6521628101.2311096</v>
      </c>
      <c r="I14" s="120">
        <v>6048036331.476717</v>
      </c>
      <c r="J14" s="1">
        <v>5606351763.9558353</v>
      </c>
    </row>
    <row r="15" spans="1:20" ht="15.75" thickBot="1">
      <c r="A15" s="110" t="s">
        <v>86</v>
      </c>
      <c r="D15" s="111">
        <v>0.46</v>
      </c>
      <c r="E15" s="114">
        <v>7265595775.6887712</v>
      </c>
      <c r="F15" s="114">
        <v>6729379556.6630545</v>
      </c>
      <c r="G15" s="121">
        <v>6230370203.3494892</v>
      </c>
      <c r="H15" s="122">
        <v>5765697002.1721592</v>
      </c>
      <c r="I15" s="123">
        <v>5332737034.4961281</v>
      </c>
      <c r="J15" s="1">
        <v>4929091457.0425329</v>
      </c>
      <c r="M15" s="133" t="s">
        <v>112</v>
      </c>
    </row>
    <row r="16" spans="1:20">
      <c r="A16" t="s">
        <v>87</v>
      </c>
      <c r="B16" s="113">
        <v>8</v>
      </c>
      <c r="D16" s="111">
        <v>0.48</v>
      </c>
      <c r="E16" s="114">
        <v>6525778852.2501955</v>
      </c>
      <c r="F16" s="114">
        <v>6030653138.2087355</v>
      </c>
      <c r="G16" s="114">
        <v>5570025815.0107679</v>
      </c>
      <c r="H16" s="114">
        <v>5141232181.2104225</v>
      </c>
      <c r="I16" s="114">
        <v>4741837615.2512951</v>
      </c>
      <c r="J16" s="1">
        <v>4369615551.3315458</v>
      </c>
      <c r="M16" t="s">
        <v>113</v>
      </c>
      <c r="N16">
        <v>4</v>
      </c>
    </row>
    <row r="17" spans="1:15">
      <c r="A17" t="s">
        <v>88</v>
      </c>
      <c r="B17" s="113">
        <v>13</v>
      </c>
      <c r="D17" s="111">
        <v>0.5</v>
      </c>
      <c r="E17" s="114">
        <v>5904332636.5617886</v>
      </c>
      <c r="F17" s="114">
        <v>5443722946.7071056</v>
      </c>
      <c r="G17" s="114">
        <v>5015336528.8062391</v>
      </c>
      <c r="H17" s="114">
        <v>4616681731.60256</v>
      </c>
      <c r="I17" s="114">
        <v>4245482103.0856347</v>
      </c>
      <c r="J17" s="1">
        <v>3899655790.5343151</v>
      </c>
      <c r="M17" s="139" t="s">
        <v>114</v>
      </c>
      <c r="N17" s="139">
        <v>10</v>
      </c>
    </row>
    <row r="18" spans="1:15">
      <c r="A18" t="s">
        <v>89</v>
      </c>
      <c r="B18" s="112">
        <v>0.22</v>
      </c>
      <c r="M18" t="s">
        <v>115</v>
      </c>
      <c r="N18" s="138">
        <f>(N17/1)^(1/N16)-1</f>
        <v>0.77827941003892298</v>
      </c>
    </row>
    <row r="19" spans="1:15">
      <c r="A19" t="s">
        <v>90</v>
      </c>
      <c r="B19" s="1">
        <f>B16*Summary!G5*(1-Valuation!B18)</f>
        <v>396057257969.81378</v>
      </c>
      <c r="G19" t="s">
        <v>97</v>
      </c>
      <c r="N19" t="s">
        <v>117</v>
      </c>
      <c r="O19" t="s">
        <v>118</v>
      </c>
    </row>
    <row r="20" spans="1:15">
      <c r="A20" t="s">
        <v>91</v>
      </c>
      <c r="B20" s="1">
        <f>B17*Summary!G13*(1-Valuation!B18)</f>
        <v>237895134317.43027</v>
      </c>
      <c r="D20" s="1">
        <f>B13</f>
        <v>6124764274.2251587</v>
      </c>
      <c r="E20" s="111">
        <v>0.74</v>
      </c>
      <c r="F20" s="111">
        <v>0.76</v>
      </c>
      <c r="G20" s="111">
        <v>0.78</v>
      </c>
      <c r="H20" s="111">
        <v>0.8</v>
      </c>
      <c r="I20" s="111">
        <v>0.82</v>
      </c>
      <c r="J20" s="111">
        <v>0.84</v>
      </c>
      <c r="M20" t="s">
        <v>116</v>
      </c>
      <c r="N20" s="1">
        <f>Summary!G5*0.9</f>
        <v>57123642976.415451</v>
      </c>
      <c r="O20" s="1">
        <f>Summary!G5*1.1</f>
        <v>69817785860.063339</v>
      </c>
    </row>
    <row r="21" spans="1:15">
      <c r="A21" t="s">
        <v>92</v>
      </c>
      <c r="B21" s="114">
        <f>B19/(1+$B$2)^5</f>
        <v>20960201377.765377</v>
      </c>
      <c r="D21" s="111">
        <v>0.22</v>
      </c>
      <c r="E21" s="1">
        <f t="dataTable" ref="E21:J27" dt2D="1" dtr="1" r1="B2" r2="B4"/>
        <v>6339344987.5436726</v>
      </c>
      <c r="F21" s="1">
        <v>5854574080.7582464</v>
      </c>
      <c r="G21" s="1">
        <v>5403619029.1494093</v>
      </c>
      <c r="H21" s="1">
        <v>4983867046.328064</v>
      </c>
      <c r="I21" s="1">
        <v>4592930961.6015968</v>
      </c>
      <c r="J21" s="1">
        <v>4228627623.0923767</v>
      </c>
      <c r="M21" t="s">
        <v>119</v>
      </c>
      <c r="N21">
        <f>B16</f>
        <v>8</v>
      </c>
      <c r="O21">
        <f>N21</f>
        <v>8</v>
      </c>
    </row>
    <row r="22" spans="1:15" ht="15.75" thickBot="1">
      <c r="A22" t="s">
        <v>93</v>
      </c>
      <c r="B22" s="114">
        <f>B20/(1+$B$2)^5</f>
        <v>12589921840.199993</v>
      </c>
      <c r="D22" s="111">
        <v>0.23</v>
      </c>
      <c r="E22" s="1">
        <v>6748934538.7928486</v>
      </c>
      <c r="F22" s="1">
        <v>6241414434.2479563</v>
      </c>
      <c r="G22" s="1">
        <v>5769209695.0569382</v>
      </c>
      <c r="H22" s="1">
        <v>5329593479.0241528</v>
      </c>
      <c r="I22" s="1">
        <v>4920074367.3471451</v>
      </c>
      <c r="J22" s="1">
        <v>4538373829.0723686</v>
      </c>
      <c r="M22" t="s">
        <v>120</v>
      </c>
      <c r="N22" s="1">
        <f>N21*N20*(1-$B$18)</f>
        <v>356451532172.8324</v>
      </c>
      <c r="O22" s="1">
        <f>O21*O20*(1-$B$18)</f>
        <v>435662983766.79523</v>
      </c>
    </row>
    <row r="23" spans="1:15">
      <c r="A23" t="s">
        <v>94</v>
      </c>
      <c r="B23" s="114">
        <f>B21+$B$14</f>
        <v>14305291085.24054</v>
      </c>
      <c r="D23" s="111">
        <v>0.24</v>
      </c>
      <c r="E23" s="1">
        <v>7197532618.7324228</v>
      </c>
      <c r="F23" s="1">
        <v>6665096726.1652575</v>
      </c>
      <c r="G23" s="124">
        <v>6169618519.6223278</v>
      </c>
      <c r="H23" s="125">
        <v>5708246238.6436806</v>
      </c>
      <c r="I23" s="126">
        <v>5278374287.9256039</v>
      </c>
      <c r="J23" s="1">
        <v>4877619673.7171221</v>
      </c>
      <c r="M23" t="s">
        <v>121</v>
      </c>
      <c r="N23" s="140">
        <f>N22/(1+$N$18)^5</f>
        <v>20044742696.820084</v>
      </c>
      <c r="O23" s="140">
        <f>O22/(1+$N$18)^5</f>
        <v>24499129962.780106</v>
      </c>
    </row>
    <row r="24" spans="1:15">
      <c r="A24" t="s">
        <v>95</v>
      </c>
      <c r="B24" s="114">
        <f>B22+$B$14</f>
        <v>5935011547.6751547</v>
      </c>
      <c r="D24" s="111">
        <v>0.25</v>
      </c>
      <c r="E24" s="1">
        <v>7690990506.6659527</v>
      </c>
      <c r="F24" s="1">
        <v>7131147247.2742882</v>
      </c>
      <c r="G24" s="127">
        <v>6610068226.6442556</v>
      </c>
      <c r="H24" s="128">
        <v>6124764274.2251587</v>
      </c>
      <c r="I24" s="129">
        <v>5672504200.5619068</v>
      </c>
      <c r="J24" s="1">
        <v>5250790102.8263512</v>
      </c>
      <c r="M24" t="s">
        <v>122</v>
      </c>
      <c r="N24" s="141">
        <f>N23+$B$14</f>
        <v>13389832404.295246</v>
      </c>
      <c r="O24" s="141">
        <f>O23+$B$14</f>
        <v>17844219670.255268</v>
      </c>
    </row>
    <row r="25" spans="1:15" ht="15.75" thickBot="1">
      <c r="D25" s="111">
        <v>0.26</v>
      </c>
      <c r="E25" s="1">
        <v>8236391330.1714363</v>
      </c>
      <c r="F25" s="1">
        <v>7646255717.9737453</v>
      </c>
      <c r="G25" s="130">
        <v>7096881060.7211246</v>
      </c>
      <c r="H25" s="131">
        <v>6585126313.5520592</v>
      </c>
      <c r="I25" s="132">
        <v>6108121472.4230862</v>
      </c>
      <c r="J25" s="1">
        <v>5663241629.7365522</v>
      </c>
      <c r="N25" s="171">
        <f>AVERAGE(N24:O24)</f>
        <v>15617026037.275257</v>
      </c>
      <c r="O25" s="171"/>
    </row>
    <row r="26" spans="1:15">
      <c r="D26" s="111">
        <v>0.27</v>
      </c>
      <c r="E26" s="1">
        <v>8842392245.1775284</v>
      </c>
      <c r="F26" s="1">
        <v>8218598463.195364</v>
      </c>
      <c r="G26" s="1">
        <v>7637784209.6954222</v>
      </c>
      <c r="H26" s="1">
        <v>7096639690.5819473</v>
      </c>
      <c r="I26" s="1">
        <v>6592140663.3799496</v>
      </c>
      <c r="J26" s="1">
        <v>6121521104.0812197</v>
      </c>
    </row>
    <row r="27" spans="1:15">
      <c r="D27" s="111">
        <v>0.28000000000000003</v>
      </c>
      <c r="E27" s="1">
        <v>9519687385.4784546</v>
      </c>
      <c r="F27" s="1">
        <v>8858275649.031292</v>
      </c>
      <c r="G27" s="1">
        <v>8242323023.2549353</v>
      </c>
      <c r="H27" s="1">
        <v>7668331111.9682941</v>
      </c>
      <c r="I27" s="1">
        <v>7133103288.5670357</v>
      </c>
      <c r="J27" s="1">
        <v>6633715810.7017317</v>
      </c>
    </row>
    <row r="29" spans="1:15">
      <c r="G29" t="s">
        <v>98</v>
      </c>
    </row>
    <row r="30" spans="1:15">
      <c r="D30" s="1">
        <f>B23</f>
        <v>14305291085.24054</v>
      </c>
      <c r="E30" s="111">
        <v>0.74</v>
      </c>
      <c r="F30" s="111">
        <v>0.76</v>
      </c>
      <c r="G30" s="111">
        <v>0.78</v>
      </c>
      <c r="H30" s="111">
        <v>0.8</v>
      </c>
      <c r="I30" s="111">
        <v>0.82</v>
      </c>
      <c r="J30" s="111">
        <v>0.84</v>
      </c>
    </row>
    <row r="31" spans="1:15" ht="15.75" thickBot="1">
      <c r="D31">
        <v>7.5</v>
      </c>
      <c r="E31" s="1">
        <f t="dataTable" ref="E31:J36" dt2D="1" dtr="1" r1="B2" r2="B16" ca="1"/>
        <v>16625091604.844131</v>
      </c>
      <c r="F31" s="1">
        <v>15332086533.330948</v>
      </c>
      <c r="G31" s="1">
        <v>14124309709.623077</v>
      </c>
      <c r="H31" s="1">
        <v>12995278499.130203</v>
      </c>
      <c r="I31" s="1">
        <v>11939067711.164375</v>
      </c>
      <c r="J31" s="1">
        <v>10950256247.796093</v>
      </c>
    </row>
    <row r="32" spans="1:15">
      <c r="D32">
        <v>7.7</v>
      </c>
      <c r="E32" s="1">
        <v>17245891655.440636</v>
      </c>
      <c r="F32" s="1">
        <v>15918406448.687103</v>
      </c>
      <c r="G32" s="124">
        <v>14678422243.013691</v>
      </c>
      <c r="H32" s="125">
        <v>13519283533.574337</v>
      </c>
      <c r="I32" s="126">
        <v>12434907124.596088</v>
      </c>
      <c r="J32" s="1">
        <v>11419727355.537987</v>
      </c>
    </row>
    <row r="33" spans="4:10">
      <c r="D33">
        <v>7.9</v>
      </c>
      <c r="E33" s="1">
        <v>17866691706.037144</v>
      </c>
      <c r="F33" s="1">
        <v>16504726364.043259</v>
      </c>
      <c r="G33" s="127">
        <v>15232534776.404305</v>
      </c>
      <c r="H33" s="128">
        <v>14043288568.018475</v>
      </c>
      <c r="I33" s="129">
        <v>12930746538.027802</v>
      </c>
      <c r="J33" s="1">
        <v>11889198463.279881</v>
      </c>
    </row>
    <row r="34" spans="4:10" ht="15.75" thickBot="1">
      <c r="D34">
        <v>8.1</v>
      </c>
      <c r="E34" s="1">
        <v>18487491756.633648</v>
      </c>
      <c r="F34" s="1">
        <v>17091046279.39941</v>
      </c>
      <c r="G34" s="130">
        <v>15786647309.79491</v>
      </c>
      <c r="H34" s="131">
        <v>14567293602.462605</v>
      </c>
      <c r="I34" s="132">
        <v>13426585951.459515</v>
      </c>
      <c r="J34" s="1">
        <v>12358669571.02177</v>
      </c>
    </row>
    <row r="35" spans="4:10">
      <c r="D35">
        <v>8.3000000000000007</v>
      </c>
      <c r="E35" s="1">
        <v>19108291807.230152</v>
      </c>
      <c r="F35" s="1">
        <v>17677366194.755566</v>
      </c>
      <c r="G35" s="1">
        <v>16340759843.185524</v>
      </c>
      <c r="H35" s="1">
        <v>15091298636.906742</v>
      </c>
      <c r="I35" s="1">
        <v>13922425364.891228</v>
      </c>
      <c r="J35" s="1">
        <v>12828140678.76366</v>
      </c>
    </row>
    <row r="36" spans="4:10">
      <c r="D36">
        <v>8.5</v>
      </c>
      <c r="E36" s="1">
        <v>19729091857.826656</v>
      </c>
      <c r="F36" s="1">
        <v>18263686110.111717</v>
      </c>
      <c r="G36" s="1">
        <v>16894872376.576134</v>
      </c>
      <c r="H36" s="1">
        <v>15615303671.350872</v>
      </c>
      <c r="I36" s="1">
        <v>14418264778.322937</v>
      </c>
      <c r="J36" s="1">
        <v>13297611786.50555</v>
      </c>
    </row>
    <row r="38" spans="4:10">
      <c r="G38" t="s">
        <v>99</v>
      </c>
    </row>
    <row r="39" spans="4:10">
      <c r="D39" s="1">
        <f>B24</f>
        <v>5935011547.6751547</v>
      </c>
      <c r="E39" s="111">
        <v>0.74</v>
      </c>
      <c r="F39" s="111">
        <v>0.76</v>
      </c>
      <c r="G39" s="111">
        <v>0.78</v>
      </c>
      <c r="H39" s="111">
        <v>0.8</v>
      </c>
      <c r="I39" s="111">
        <v>0.82</v>
      </c>
      <c r="J39" s="111">
        <v>0.84</v>
      </c>
    </row>
    <row r="40" spans="4:10" ht="15.75" thickBot="1">
      <c r="D40">
        <v>12.5</v>
      </c>
      <c r="E40" s="1">
        <f t="dataTable" ref="E40:J45" dt2D="1" dtr="1" r1="B2" r2="B17" ca="1"/>
        <v>7686966219.3128805</v>
      </c>
      <c r="F40" s="1">
        <v>6890397595.883441</v>
      </c>
      <c r="G40" s="1">
        <v>6146334681.4626532</v>
      </c>
      <c r="H40" s="1">
        <v>5450783784.590539</v>
      </c>
      <c r="I40" s="1">
        <v>4800094632.662734</v>
      </c>
      <c r="J40" s="1">
        <v>4190927504.4280844</v>
      </c>
    </row>
    <row r="41" spans="4:10">
      <c r="D41">
        <v>12.7</v>
      </c>
      <c r="E41" s="1">
        <v>7916436243.502286</v>
      </c>
      <c r="F41" s="1">
        <v>7107122522.0979738</v>
      </c>
      <c r="G41" s="124">
        <v>6351154601.0464525</v>
      </c>
      <c r="H41" s="125">
        <v>5644474889.8243856</v>
      </c>
      <c r="I41" s="126">
        <v>4983374711.4657354</v>
      </c>
      <c r="J41" s="1">
        <v>4364460909.1793318</v>
      </c>
    </row>
    <row r="42" spans="4:10">
      <c r="D42">
        <v>12.9</v>
      </c>
      <c r="E42" s="1">
        <v>8145906267.6916895</v>
      </c>
      <c r="F42" s="1">
        <v>7323847448.3125067</v>
      </c>
      <c r="G42" s="127">
        <v>6555974520.6302538</v>
      </c>
      <c r="H42" s="128">
        <v>5838165995.0582323</v>
      </c>
      <c r="I42" s="129">
        <v>5166654790.2687368</v>
      </c>
      <c r="J42" s="1">
        <v>4537994313.9305792</v>
      </c>
    </row>
    <row r="43" spans="4:10" ht="15.75" thickBot="1">
      <c r="D43">
        <v>13.1</v>
      </c>
      <c r="E43" s="1">
        <v>8375376291.881093</v>
      </c>
      <c r="F43" s="1">
        <v>7540572374.5270376</v>
      </c>
      <c r="G43" s="130">
        <v>6760794440.2140512</v>
      </c>
      <c r="H43" s="131">
        <v>6031857100.2920771</v>
      </c>
      <c r="I43" s="132">
        <v>5349934869.0717382</v>
      </c>
      <c r="J43" s="1">
        <v>4711527718.6818247</v>
      </c>
    </row>
    <row r="44" spans="4:10">
      <c r="D44">
        <v>13.3</v>
      </c>
      <c r="E44" s="1">
        <v>8604846316.0704956</v>
      </c>
      <c r="F44" s="1">
        <v>7757297300.7415724</v>
      </c>
      <c r="G44" s="1">
        <v>6965614359.7978525</v>
      </c>
      <c r="H44" s="1">
        <v>6225548205.5259237</v>
      </c>
      <c r="I44" s="1">
        <v>5533214947.8747396</v>
      </c>
      <c r="J44" s="1">
        <v>4885061123.4330721</v>
      </c>
    </row>
    <row r="45" spans="4:10">
      <c r="D45">
        <v>13.5</v>
      </c>
      <c r="E45" s="1">
        <v>8834316340.2598991</v>
      </c>
      <c r="F45" s="1">
        <v>7974022226.9561033</v>
      </c>
      <c r="G45" s="1">
        <v>7170434279.3816519</v>
      </c>
      <c r="H45" s="1">
        <v>6419239310.7597685</v>
      </c>
      <c r="I45" s="1">
        <v>5716495026.6777391</v>
      </c>
      <c r="J45" s="1">
        <v>5058594528.1843176</v>
      </c>
    </row>
  </sheetData>
  <mergeCells count="2">
    <mergeCell ref="N7:P7"/>
    <mergeCell ref="N25:O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Market Size</vt:lpstr>
      <vt:lpstr>Assumptions</vt:lpstr>
      <vt:lpstr>Growth Model</vt:lpstr>
      <vt:lpstr>KPI Growth</vt:lpstr>
      <vt:lpstr>P&amp;L</vt:lpstr>
      <vt:lpstr>Summary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Amir</cp:lastModifiedBy>
  <dcterms:created xsi:type="dcterms:W3CDTF">2022-02-23T15:17:33Z</dcterms:created>
  <dcterms:modified xsi:type="dcterms:W3CDTF">2022-05-06T04:26:41Z</dcterms:modified>
</cp:coreProperties>
</file>